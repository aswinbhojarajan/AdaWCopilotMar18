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comments6.xml" ContentType="application/vnd.openxmlformats-officedocument.spreadsheetml.comments+xml"/>
  <Override PartName="/xl/threadedComments/threadedComment6.xml" ContentType="application/vnd.ms-excel.threadedcomments+xml"/>
  <Override PartName="/xl/comments7.xml" ContentType="application/vnd.openxmlformats-officedocument.spreadsheetml.comments+xml"/>
  <Override PartName="/xl/threadedComments/threadedComment7.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abhoja01\Downloads\"/>
    </mc:Choice>
  </mc:AlternateContent>
  <xr:revisionPtr revIDLastSave="0" documentId="13_ncr:1_{6CE9E460-2746-4961-8748-2C899ED10D77}" xr6:coauthVersionLast="47" xr6:coauthVersionMax="47" xr10:uidLastSave="{00000000-0000-0000-0000-000000000000}"/>
  <bookViews>
    <workbookView xWindow="-108" yWindow="-108" windowWidth="23256" windowHeight="13896" tabRatio="752" activeTab="1" xr2:uid="{00000000-000D-0000-FFFF-FFFF00000000}"/>
  </bookViews>
  <sheets>
    <sheet name="README" sheetId="1" r:id="rId1"/>
    <sheet name="Users" sheetId="2" r:id="rId2"/>
    <sheet name="Customers" sheetId="3" r:id="rId3"/>
    <sheet name="Portfolios" sheetId="4" r:id="rId4"/>
    <sheet name="Holdings" sheetId="5" r:id="rId5"/>
    <sheet name="Transactions" sheetId="6" r:id="rId6"/>
    <sheet name="Goals" sheetId="7" r:id="rId7"/>
    <sheet name="Connected Accounts" sheetId="8" r:id="rId8"/>
    <sheet name="Funds" sheetId="14" r:id="rId9"/>
    <sheet name="Advisors" sheetId="15" r:id="rId10"/>
  </sheets>
  <definedNames>
    <definedName name="_xlnm._FilterDatabase" localSheetId="5" hidden="1">Transactions!$A$1:$J$135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 i="7"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tc={A2D4AEB1-9C33-4BA9-ADB1-900D570F75D4}</author>
  </authors>
  <commentList>
    <comment ref="D1" authorId="0" shapeId="0" xr:uid="{A2D4AEB1-9C33-4BA9-ADB1-900D570F75D4}">
      <text>
        <t>[Threaded comment]
Your version of Excel allows you to read this threaded comment; however, any edits to it will get removed if the file is opened in a newer version of Excel. Learn more: https://go.microsoft.com/fwlink/?linkid=870924
Comment:
    This isn’t consistent with the risk profile on the next tab</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tc={7C7FF5AE-5847-4161-AD0F-57ACC4EC870F}</author>
    <author>tc={64A52424-D23A-4069-B4DC-FC45D903D4F0}</author>
    <author>tc={73550CAC-1FEC-4EEC-97BA-92DD7E44C8CF}</author>
    <author>tc={EA0EADFB-8D8E-4F0B-B742-90B545525A22}</author>
  </authors>
  <commentList>
    <comment ref="I1" authorId="0" shapeId="0" xr:uid="{7C7FF5AE-5847-4161-AD0F-57ACC4EC870F}">
      <text>
        <t>[Threaded comment]
Your version of Excel allows you to read this threaded comment; however, any edits to it will get removed if the file is opened in a newer version of Excel. Learn more: https://go.microsoft.com/fwlink/?linkid=870924
Comment:
    Not correct
Reply:
    Picked the risk profile from Omar’s Persona Excel: Sheet ‘Persona Overview’, Cell B22. Do let us know what this needs to be changed to please?</t>
      </text>
    </comment>
    <comment ref="K1" authorId="1" shapeId="0" xr:uid="{64A52424-D23A-4069-B4DC-FC45D903D4F0}">
      <text>
        <t xml:space="preserve">[Threaded comment]
Your version of Excel allows you to read this threaded comment; however, any edits to it will get removed if the file is opened in a newer version of Excel. Learn more: https://go.microsoft.com/fwlink/?linkid=870924
Comment:
    Not correct
Reply:
    We calculated net worth based on the portfolio sheet in Omar’s persona excel. Total portfolio + flat equaled ~650k USD. Added a buffer to bring this to 800k. Do let us know what the ideal value should be.
Reply:
    What buffer? What does that mean
Reply:
    How does the LLM answer the delta between recorded net worth vs unrecorded net worth - </t>
      </text>
    </comment>
    <comment ref="M1" authorId="2" shapeId="0" xr:uid="{73550CAC-1FEC-4EEC-97BA-92DD7E44C8CF}">
      <text>
        <t>[Threaded comment]
Your version of Excel allows you to read this threaded comment; however, any edits to it will get removed if the file is opened in a newer version of Excel. Learn more: https://go.microsoft.com/fwlink/?linkid=870924
Comment:
    Does it make sense to have this here? Then we are maintaining goals in 2 places
Reply:
    Hamza said we arent changing the schema at this point and therefore retained it. Here you see total goal target across goals with the goal table breaking this down.</t>
      </text>
    </comment>
    <comment ref="O2" authorId="3" shapeId="0" xr:uid="{EA0EADFB-8D8E-4F0B-B742-90B545525A22}">
      <text>
        <t>[Threaded comment]
Your version of Excel allows you to read this threaded comment; however, any edits to it will get removed if the file is opened in a newer version of Excel. Learn more: https://go.microsoft.com/fwlink/?linkid=870924
Comment:
    The LLM should understand this and the start date of the relationship and therefore all the initial transaction are attribute to this. - Check with Hamza</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tc={C707C21E-8F68-43E7-B604-6A2F09DD5E27}</author>
  </authors>
  <commentList>
    <comment ref="F1" authorId="0" shapeId="0" xr:uid="{C707C21E-8F68-43E7-B604-6A2F09DD5E27}">
      <text>
        <t>[Threaded comment]
Your version of Excel allows you to read this threaded comment; however, any edits to it will get removed if the file is opened in a newer version of Excel. Learn more: https://go.microsoft.com/fwlink/?linkid=870924
Comment:
    I assume these %s tie up with the holdings view
Reply:
    Yes. Hamza will also run scripts that validates this.</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tc={904E5448-CFC5-4755-AFB6-DAD57C4D1FE7}</author>
  </authors>
  <commentList>
    <comment ref="G1" authorId="0" shapeId="0" xr:uid="{904E5448-CFC5-4755-AFB6-DAD57C4D1FE7}">
      <text>
        <t>[Threaded comment]
Your version of Excel allows you to read this threaded comment; however, any edits to it will get removed if the file is opened in a newer version of Excel. Learn more: https://go.microsoft.com/fwlink/?linkid=870924
Comment:
    I suggest we may want to have the account held in this table so it becomes easier to manager rather than having across the connected account piece as well
Reply:
    Could you please explain this further? Are we referring to something beyond the WIO bank account at the bottom?
Reply:
    In the omar persona excel, the Nvidia and Apple stocks are held in his IBRK account. Column C in the portfolio tab</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tc={98D4FE30-7C85-4377-B480-1873225E2D97}</author>
  </authors>
  <commentList>
    <comment ref="C1" authorId="0" shapeId="0" xr:uid="{98D4FE30-7C85-4377-B480-1873225E2D97}">
      <text>
        <t xml:space="preserve">[Threaded comment]
Your version of Excel allows you to read this threaded comment; however, any edits to it will get removed if the file is opened in a newer version of Excel. Learn more: https://go.microsoft.com/fwlink/?linkid=870924
Comment:
    Are dividend dates roughly correct?
Reply:
    Summing the ‘buys’ gives a greater value than the average cost base for the portfolio
Reply:
    Do we need to define the starting point of the portfolio better? As I can tell, this transaction data shows a build up to the full portfolio value over the course of the 1 year period which wouldn’t be realistic (e.g. there should be a starting balance to some of these asset classes?). Else questions on monthly contributions etc. will look ridiculous
Reply:
    Where is the value of the ‘sell’ cash going?
Reply:
    As with the ‘sell’ comment, where are the dividends &amp; coupons going?
Reply:
    Holdings + Cash = Buys - Sells - Fees. With some rounding errors. We have worked on maintaining this balance across the holdings and transactions table. Hope this makes sense. We have also ensured that deposits are also reconciling. Formula used : Ending cash = Deposits + Sells + Income - Buys - Fees </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tc={BD417CEF-604A-4B85-BFF5-7085502799B1}</author>
  </authors>
  <commentList>
    <comment ref="H2" authorId="0" shapeId="0" xr:uid="{BD417CEF-604A-4B85-BFF5-7085502799B1}">
      <text>
        <t>[Threaded comment]
Your version of Excel allows you to read this threaded comment; however, any edits to it will get removed if the file is opened in a newer version of Excel. Learn more: https://go.microsoft.com/fwlink/?linkid=870924
Comment:
    Is this correct? This doesn’t tie in with the transaction table
Reply:
    Transaction table is now fixed. This was the target monthly contribution. In the transaction table we had much higher numbers. We have no redistributed it so that it aligns with a realistic monthly contribution</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tc={3A5CFDE5-125E-4C81-A52D-92C6A1E25851}</author>
  </authors>
  <commentList>
    <comment ref="A1" authorId="0" shapeId="0" xr:uid="{3A5CFDE5-125E-4C81-A52D-92C6A1E25851}">
      <text>
        <t>[Threaded comment]
Your version of Excel allows you to read this threaded comment; however, any edits to it will get removed if the file is opened in a newer version of Excel. Learn more: https://go.microsoft.com/fwlink/?linkid=870924
Comment:
    As per the sheet I had shared, can we add the geography and industry for these? Or will this be covered in the Yahoo Finance dataset?
Reply:
    This should be covered by the external datasets. Only tickers / Primary key to pull the data is required.</t>
      </text>
    </comment>
  </commentList>
</comments>
</file>

<file path=xl/sharedStrings.xml><?xml version="1.0" encoding="utf-8"?>
<sst xmlns="http://schemas.openxmlformats.org/spreadsheetml/2006/main" count="1062" uniqueCount="242">
  <si>
    <t>ADA WEALTH COPILOT - DATA REVIEW WORKBOOK</t>
  </si>
  <si>
    <t>Exported: 2026-03-23 19:08</t>
  </si>
  <si>
    <t>Source: Production database (Railway PostgreSQL)</t>
  </si>
  <si>
    <t>PURPOSE:</t>
  </si>
  <si>
    <t>Review all seeded demo data for completeness and accuracy.</t>
  </si>
  <si>
    <t>Flag any gaps, incorrect values, or missing scenarios.</t>
  </si>
  <si>
    <t>SHEETS:</t>
  </si>
  <si>
    <t xml:space="preserve">  Users           - Login accounts (8 demo users + test accounts)</t>
  </si>
  <si>
    <t xml:space="preserve">  Customers       - CRM profiles (segment, risk, income, RM assignment)</t>
  </si>
  <si>
    <t xml:space="preserve">  Portfolios      - Portfolio config (allocation targets per user)</t>
  </si>
  <si>
    <t xml:space="preserve">  Holdings        - Current positions (ticker, quantity, cost basis, value)</t>
  </si>
  <si>
    <t xml:space="preserve">  Transactions    - Buy/sell history (336 transactions across all users)</t>
  </si>
  <si>
    <t xml:space="preserve">  Goals           - Financial goals with targets and progress</t>
  </si>
  <si>
    <t xml:space="preserve">  Connected Accts - Linked bank/brokerage accounts</t>
  </si>
  <si>
    <t xml:space="preserve">  Notifications   - Alert/message inbox per user</t>
  </si>
  <si>
    <t xml:space="preserve">  Conversations   - Chat thread history summaries</t>
  </si>
  <si>
    <t xml:space="preserve">  Market Intel    - Curated market articles for Discover screen</t>
  </si>
  <si>
    <t xml:space="preserve">  Community Polls - Lounge polling questions</t>
  </si>
  <si>
    <t xml:space="preserve">  Peer Benchmarks - Investors like you comparison data</t>
  </si>
  <si>
    <t xml:space="preserve">  Funds           - Reference data for all investable instruments</t>
  </si>
  <si>
    <t xml:space="preserve">  Advisors        - Relationship manager profiles</t>
  </si>
  <si>
    <t>REVIEW CHECKLIST:</t>
  </si>
  <si>
    <t xml:space="preserve">  [ ] Are persona profiles realistic for target client segments?</t>
  </si>
  <si>
    <t xml:space="preserve">  [ ] Are portfolio allocations appropriate for each risk profile?</t>
  </si>
  <si>
    <t xml:space="preserve">  [ ] Are goal targets, dates, and progress believable?</t>
  </si>
  <si>
    <t xml:space="preserve">  [ ] Are notification messages appropriate and well-written?</t>
  </si>
  <si>
    <t xml:space="preserve">  [ ] Is market intelligence content current and relevant?</t>
  </si>
  <si>
    <t xml:space="preserve">  [ ] Are peer benchmark narratives clear and insightful?</t>
  </si>
  <si>
    <t xml:space="preserve">  [ ] Are there any data gaps that would break a demo scenario?</t>
  </si>
  <si>
    <t xml:space="preserve">  [ ] Are connected account institutions appropriate for the region?</t>
  </si>
  <si>
    <t>NOTES FOR REVIEWER:</t>
  </si>
  <si>
    <t xml:space="preserve">  - All monetary values are in GBP unless noted</t>
  </si>
  <si>
    <t xml:space="preserve">  - Current Price in Holdings is from Yahoo Finance (live at last refresh)</t>
  </si>
  <si>
    <t xml:space="preserve">  - Transaction history starts Jan 2025 - 15 months of activity</t>
  </si>
  <si>
    <t xml:space="preserve">  - Correlation and health scores are pre-computed daily by cron job</t>
  </si>
  <si>
    <t>Email</t>
  </si>
  <si>
    <t>First Name</t>
  </si>
  <si>
    <t>Last Name</t>
  </si>
  <si>
    <t>Risk Profile</t>
  </si>
  <si>
    <t>Is Admin</t>
  </si>
  <si>
    <t>Locale</t>
  </si>
  <si>
    <t>Created</t>
  </si>
  <si>
    <t>balanced</t>
  </si>
  <si>
    <t>en-US</t>
  </si>
  <si>
    <t>2026-03-19 17:06:06.856814+00:00</t>
  </si>
  <si>
    <t>Omar</t>
  </si>
  <si>
    <t>Customer ID</t>
  </si>
  <si>
    <t>Age</t>
  </si>
  <si>
    <t>Gender</t>
  </si>
  <si>
    <t>Nationality</t>
  </si>
  <si>
    <t>Segment</t>
  </si>
  <si>
    <t>Annual Income</t>
  </si>
  <si>
    <t>Net Worth</t>
  </si>
  <si>
    <t>Base Currency</t>
  </si>
  <si>
    <t>Goal Target</t>
  </si>
  <si>
    <t>RM Name</t>
  </si>
  <si>
    <t>Relationship Start</t>
  </si>
  <si>
    <t>Mass Affluent</t>
  </si>
  <si>
    <t>Sarah Mitchell</t>
  </si>
  <si>
    <t>Male</t>
  </si>
  <si>
    <t>James Park</t>
  </si>
  <si>
    <t>Maria Santos</t>
  </si>
  <si>
    <t>Portfolio Name</t>
  </si>
  <si>
    <t>User Email</t>
  </si>
  <si>
    <t>Currency</t>
  </si>
  <si>
    <t>Risk Level</t>
  </si>
  <si>
    <t>Status</t>
  </si>
  <si>
    <t>Stocks %</t>
  </si>
  <si>
    <t>Bonds %</t>
  </si>
  <si>
    <t>Cash %</t>
  </si>
  <si>
    <t>Crypto %</t>
  </si>
  <si>
    <t>Commodities %</t>
  </si>
  <si>
    <t>Alternatives %</t>
  </si>
  <si>
    <t>active</t>
  </si>
  <si>
    <t>Omar's Portfolio</t>
  </si>
  <si>
    <t>Portfolio</t>
  </si>
  <si>
    <t>Ticker</t>
  </si>
  <si>
    <t>Fund Name</t>
  </si>
  <si>
    <t>Category</t>
  </si>
  <si>
    <t>Asset Class</t>
  </si>
  <si>
    <t>Quantity</t>
  </si>
  <si>
    <t>Avg Cost Basis</t>
  </si>
  <si>
    <t>Current Price</t>
  </si>
  <si>
    <t>Current Value</t>
  </si>
  <si>
    <t>VTI</t>
  </si>
  <si>
    <t>Vanguard Total Stock Market ETF</t>
  </si>
  <si>
    <t>equity</t>
  </si>
  <si>
    <t>Equities</t>
  </si>
  <si>
    <t>BTC-USD</t>
  </si>
  <si>
    <t>Bitcoin</t>
  </si>
  <si>
    <t>crypto</t>
  </si>
  <si>
    <t>Crypto</t>
  </si>
  <si>
    <t>BIL</t>
  </si>
  <si>
    <t>SPDR Bloomberg 1-3 Month T-Bill ETF</t>
  </si>
  <si>
    <t>cash</t>
  </si>
  <si>
    <t>Cash</t>
  </si>
  <si>
    <t>GLD</t>
  </si>
  <si>
    <t>SPDR Gold Shares</t>
  </si>
  <si>
    <t>commodity</t>
  </si>
  <si>
    <t>Commodities</t>
  </si>
  <si>
    <t>BND</t>
  </si>
  <si>
    <t>Vanguard Total Bond Market ETF</t>
  </si>
  <si>
    <t>bond</t>
  </si>
  <si>
    <t>Bonds</t>
  </si>
  <si>
    <t>AAPL</t>
  </si>
  <si>
    <t>Apple Inc.</t>
  </si>
  <si>
    <t>AGG</t>
  </si>
  <si>
    <t>iShares Core US Aggregate Bond ETF</t>
  </si>
  <si>
    <t>MSFT</t>
  </si>
  <si>
    <t>Microsoft Corp.</t>
  </si>
  <si>
    <t>VEA</t>
  </si>
  <si>
    <t>Vanguard FTSE Developed Markets ETF</t>
  </si>
  <si>
    <t>VNQ</t>
  </si>
  <si>
    <t>Vanguard Real Estate ETF</t>
  </si>
  <si>
    <t>real_estate</t>
  </si>
  <si>
    <t>Alternatives</t>
  </si>
  <si>
    <t>AMZN</t>
  </si>
  <si>
    <t>Amazon.com Inc.</t>
  </si>
  <si>
    <t>NVDA</t>
  </si>
  <si>
    <t>NVIDIA Corp.</t>
  </si>
  <si>
    <t>TLT</t>
  </si>
  <si>
    <t>iShares 20+ Year Treasury Bond ETF</t>
  </si>
  <si>
    <t>QQQ</t>
  </si>
  <si>
    <t>Invesco QQQ Trust</t>
  </si>
  <si>
    <t>AMD</t>
  </si>
  <si>
    <t>Advanced Micro Devices</t>
  </si>
  <si>
    <t>META</t>
  </si>
  <si>
    <t>Meta Platforms Inc.</t>
  </si>
  <si>
    <t>GOOGL</t>
  </si>
  <si>
    <t>Alphabet Inc.</t>
  </si>
  <si>
    <t>ETH-USD</t>
  </si>
  <si>
    <t>Ethereum</t>
  </si>
  <si>
    <t>Type</t>
  </si>
  <si>
    <t>Date</t>
  </si>
  <si>
    <t>Price</t>
  </si>
  <si>
    <t>Amount</t>
  </si>
  <si>
    <t>Fee</t>
  </si>
  <si>
    <t>buy</t>
  </si>
  <si>
    <t>completed</t>
  </si>
  <si>
    <t>sell</t>
  </si>
  <si>
    <t>Goal Name</t>
  </si>
  <si>
    <t>Target Amount</t>
  </si>
  <si>
    <t>Current Amount</t>
  </si>
  <si>
    <t>Progress %</t>
  </si>
  <si>
    <t>Target Date</t>
  </si>
  <si>
    <t>Monthly Contribution</t>
  </si>
  <si>
    <t>net_wealth</t>
  </si>
  <si>
    <t>Institution</t>
  </si>
  <si>
    <t>Account Type</t>
  </si>
  <si>
    <t>Masked Number</t>
  </si>
  <si>
    <t>Balance</t>
  </si>
  <si>
    <t>Sync Status</t>
  </si>
  <si>
    <t>Last Synced</t>
  </si>
  <si>
    <t>bank</t>
  </si>
  <si>
    <t>savings</t>
  </si>
  <si>
    <t>synced</t>
  </si>
  <si>
    <t>Interactive Brokers</t>
  </si>
  <si>
    <t>brokerage</t>
  </si>
  <si>
    <t>investment</t>
  </si>
  <si>
    <t>****8721</t>
  </si>
  <si>
    <t>2026-03-19 17:05:59.932192+00:00</t>
  </si>
  <si>
    <t>WIO Bank</t>
  </si>
  <si>
    <t>Emirates NBD</t>
  </si>
  <si>
    <t>Title</t>
  </si>
  <si>
    <t>Shariah Compliant</t>
  </si>
  <si>
    <t>Expense Ratio</t>
  </si>
  <si>
    <t>ACWI</t>
  </si>
  <si>
    <t>iShares MSCI ACWI ETF</t>
  </si>
  <si>
    <t>etf</t>
  </si>
  <si>
    <t>AOA</t>
  </si>
  <si>
    <t>iShares Core Aggressive Allocation ETF</t>
  </si>
  <si>
    <t>AOK</t>
  </si>
  <si>
    <t>iShares Core Conservative Allocation ETF</t>
  </si>
  <si>
    <t>AOR</t>
  </si>
  <si>
    <t>iShares Core Growth Allocation ETF</t>
  </si>
  <si>
    <t>SPY</t>
  </si>
  <si>
    <t>SPDR S&amp;P 500 ETF Trust</t>
  </si>
  <si>
    <t>VT</t>
  </si>
  <si>
    <t>Vanguard Total World Stock ETF</t>
  </si>
  <si>
    <t>RM ID</t>
  </si>
  <si>
    <t>Full Name</t>
  </si>
  <si>
    <t>Availability</t>
  </si>
  <si>
    <t>Message</t>
  </si>
  <si>
    <t>RM-001</t>
  </si>
  <si>
    <t>Senior Wealth Advisor</t>
  </si>
  <si>
    <t>available</t>
  </si>
  <si>
    <t>Available today</t>
  </si>
  <si>
    <t>RM-002</t>
  </si>
  <si>
    <t>Private Wealth Manager</t>
  </si>
  <si>
    <t>RM-003</t>
  </si>
  <si>
    <t>Wealth Advisor</t>
  </si>
  <si>
    <t>busy</t>
  </si>
  <si>
    <t>Back tomorrow</t>
  </si>
  <si>
    <t>Karim Haddad</t>
  </si>
  <si>
    <t>omarkarim@demo.ada</t>
  </si>
  <si>
    <t>Lebanese</t>
  </si>
  <si>
    <t>USD</t>
  </si>
  <si>
    <t>Leila university fund</t>
  </si>
  <si>
    <t>Apartment upgrade deposit</t>
  </si>
  <si>
    <t>Invesco Nasdaq-100 ETF</t>
  </si>
  <si>
    <t>BBY</t>
  </si>
  <si>
    <t>Best Buy Co. Inc.</t>
  </si>
  <si>
    <t>T</t>
  </si>
  <si>
    <t>AT&amp;T Inc.</t>
  </si>
  <si>
    <t>NVIDIA Corporation</t>
  </si>
  <si>
    <t>VCIT</t>
  </si>
  <si>
    <t>Vanguard Interm. Corp Bond ETF</t>
  </si>
  <si>
    <t>TIP</t>
  </si>
  <si>
    <t>iShares TIPS Bond ETF</t>
  </si>
  <si>
    <t>ICLN</t>
  </si>
  <si>
    <t>iShares Global Clean Energy ETF</t>
  </si>
  <si>
    <t>BTC</t>
  </si>
  <si>
    <t>ETH</t>
  </si>
  <si>
    <t>TD</t>
  </si>
  <si>
    <t>ENBD Term Deposit (AED, 12-month)</t>
  </si>
  <si>
    <t>WIO</t>
  </si>
  <si>
    <t>WIO Bank AED Savings Account</t>
  </si>
  <si>
    <t>deposit</t>
  </si>
  <si>
    <t>Vanguard Intermediate-Term Corp Bond ETF</t>
  </si>
  <si>
    <t>alternative</t>
  </si>
  <si>
    <t>Bitcoin - Coinbase Wallet</t>
  </si>
  <si>
    <t>Ethereum - Coinbase Wallet</t>
  </si>
  <si>
    <t>****3041</t>
  </si>
  <si>
    <t>Coinbase</t>
  </si>
  <si>
    <t>wallet</t>
  </si>
  <si>
    <t>****6118</t>
  </si>
  <si>
    <t>****1179</t>
  </si>
  <si>
    <t>31/12/2027</t>
  </si>
  <si>
    <t>30/9/2041</t>
  </si>
  <si>
    <t>not started</t>
  </si>
  <si>
    <t>RM-004</t>
  </si>
  <si>
    <t>James Thornton</t>
  </si>
  <si>
    <t>Priority Banking Relationship Manager</t>
  </si>
  <si>
    <t>coupon</t>
  </si>
  <si>
    <t>General wealth</t>
  </si>
  <si>
    <t>dividend</t>
  </si>
  <si>
    <t>Opening wealth</t>
  </si>
  <si>
    <t>Mapping</t>
  </si>
  <si>
    <t>growth</t>
  </si>
  <si>
    <t>withdrawal</t>
  </si>
  <si>
    <t>invest</t>
  </si>
  <si>
    <t>Connected Account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</si>
</sst>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164" formatCode="0.0000"/>
    <numFmt numFmtId="165" formatCode="yyyy\-mm\-dd"/>
    <numFmt numFmtId="166" formatCode="0.000"/>
    <numFmt numFmtId="167" formatCode="0.0"/>
  </numFmts>
  <fonts count="13" x14ac:knownFonts="1">
    <font>
      <sz val="11"/>
      <color theme="1"/>
      <name val="Calibri"/>
      <family val="2"/>
      <scheme val="minor"/>
    </font>
    <font>
      <b/>
      <sz val="11"/>
      <color rgb="FFFFFFFF"/>
      <name val="Calibri"/>
      <family val="2"/>
    </font>
    <font>
      <b/>
      <sz val="14"/>
      <name val="Calibri"/>
      <family val="2"/>
    </font>
    <font>
      <sz val="11"/>
      <color rgb="FFCC0000"/>
      <name val="Calibri"/>
      <family val="2"/>
    </font>
    <font>
      <sz val="11"/>
      <color theme="1"/>
      <name val="Calibri"/>
      <family val="2"/>
      <scheme val="minor"/>
    </font>
    <font>
      <sz val="11"/>
      <color rgb="FFFF0000"/>
      <name val="Calibri"/>
      <family val="2"/>
      <scheme val="minor"/>
    </font>
    <font>
      <b/>
      <sz val="9"/>
      <color rgb="FF5C1A1A"/>
      <name val="Arial"/>
      <family val="2"/>
    </font>
    <font>
      <sz val="9"/>
      <color rgb="FF333333"/>
      <name val="Arial"/>
      <family val="2"/>
    </font>
    <font>
      <sz val="9"/>
      <color rgb="FFFF0000"/>
      <name val="Arial"/>
      <family val="2"/>
    </font>
    <font>
      <b/>
      <sz val="9"/>
      <color rgb="FFFF0000"/>
      <name val="Arial"/>
      <family val="2"/>
    </font>
    <font>
      <sz val="11"/>
      <color rgb="FF000000"/>
      <name val="Aptos Narrow"/>
      <family val="2"/>
    </font>
    <font>
      <sz val="11"/>
      <color rgb="FFFF0000"/>
      <name val="Aptos Narrow"/>
      <family val="2"/>
    </font>
    <font>
      <sz val="11"/>
      <color rgb="FF000000"/>
      <name val="Aptos Narrow"/>
    </font>
  </fonts>
  <fills count="4">
    <fill>
      <patternFill patternType="none"/>
    </fill>
    <fill>
      <patternFill patternType="gray125"/>
    </fill>
    <fill>
      <patternFill patternType="solid">
        <fgColor rgb="FF2F4858"/>
        <bgColor rgb="FF2F4858"/>
      </patternFill>
    </fill>
    <fill>
      <patternFill patternType="solid">
        <fgColor rgb="FFFF0000"/>
        <bgColor indexed="64"/>
      </patternFill>
    </fill>
  </fills>
  <borders count="3">
    <border>
      <left/>
      <right/>
      <top/>
      <bottom/>
      <diagonal/>
    </border>
    <border>
      <left/>
      <right/>
      <top/>
      <bottom style="thin">
        <color rgb="FFDDDDDD"/>
      </bottom>
      <diagonal/>
    </border>
    <border>
      <left style="thin">
        <color rgb="FFCCCCCC"/>
      </left>
      <right style="thin">
        <color rgb="FFCCCCCC"/>
      </right>
      <top style="thin">
        <color rgb="FFCCCCCC"/>
      </top>
      <bottom style="thin">
        <color rgb="FFCCCCCC"/>
      </bottom>
      <diagonal/>
    </border>
  </borders>
  <cellStyleXfs count="3">
    <xf numFmtId="0" fontId="0" fillId="0" borderId="0"/>
    <xf numFmtId="44" fontId="4" fillId="0" borderId="0" applyFont="0" applyFill="0" applyBorder="0" applyAlignment="0" applyProtection="0"/>
    <xf numFmtId="9" fontId="4" fillId="0" borderId="0" applyFont="0" applyFill="0" applyBorder="0" applyAlignment="0" applyProtection="0"/>
  </cellStyleXfs>
  <cellXfs count="35">
    <xf numFmtId="0" fontId="0" fillId="0" borderId="0" xfId="0"/>
    <xf numFmtId="0" fontId="2" fillId="0" borderId="0" xfId="0" applyFont="1"/>
    <xf numFmtId="0" fontId="3" fillId="0" borderId="0" xfId="0" applyFont="1"/>
    <xf numFmtId="0" fontId="1" fillId="2" borderId="0" xfId="0" applyFont="1" applyFill="1" applyAlignment="1">
      <alignment horizontal="center"/>
    </xf>
    <xf numFmtId="0" fontId="0" fillId="0" borderId="1" xfId="0" applyBorder="1"/>
    <xf numFmtId="4" fontId="0" fillId="0" borderId="1" xfId="0" applyNumberFormat="1" applyBorder="1"/>
    <xf numFmtId="0" fontId="5" fillId="0" borderId="1" xfId="0" applyFont="1" applyBorder="1"/>
    <xf numFmtId="0" fontId="0" fillId="3" borderId="1" xfId="0" applyFill="1" applyBorder="1"/>
    <xf numFmtId="0" fontId="5" fillId="0" borderId="0" xfId="0" applyFont="1"/>
    <xf numFmtId="14" fontId="0" fillId="0" borderId="1" xfId="0" applyNumberFormat="1" applyBorder="1"/>
    <xf numFmtId="14" fontId="5" fillId="0" borderId="1" xfId="0" applyNumberFormat="1" applyFont="1" applyBorder="1"/>
    <xf numFmtId="9" fontId="0" fillId="0" borderId="1" xfId="2" applyFont="1" applyFill="1" applyBorder="1"/>
    <xf numFmtId="44" fontId="0" fillId="0" borderId="1" xfId="1" applyFont="1" applyFill="1" applyBorder="1"/>
    <xf numFmtId="0" fontId="6" fillId="0" borderId="2" xfId="0" applyFont="1" applyBorder="1" applyAlignment="1">
      <alignment horizontal="left" vertical="center" indent="1"/>
    </xf>
    <xf numFmtId="0" fontId="7" fillId="0" borderId="2" xfId="0" applyFont="1" applyBorder="1" applyAlignment="1">
      <alignment horizontal="left" vertical="center" indent="1"/>
    </xf>
    <xf numFmtId="0" fontId="8" fillId="0" borderId="2" xfId="0" applyFont="1" applyBorder="1" applyAlignment="1">
      <alignment horizontal="left" vertical="center" indent="1"/>
    </xf>
    <xf numFmtId="0" fontId="9" fillId="0" borderId="2" xfId="0" applyFont="1" applyBorder="1" applyAlignment="1">
      <alignment horizontal="left" vertical="center" indent="1"/>
    </xf>
    <xf numFmtId="0" fontId="10" fillId="0" borderId="0" xfId="0" applyFont="1"/>
    <xf numFmtId="2" fontId="10" fillId="0" borderId="0" xfId="0" applyNumberFormat="1" applyFont="1"/>
    <xf numFmtId="164" fontId="10" fillId="0" borderId="0" xfId="0" applyNumberFormat="1" applyFont="1"/>
    <xf numFmtId="0" fontId="11" fillId="0" borderId="0" xfId="0" applyFont="1"/>
    <xf numFmtId="165" fontId="10" fillId="0" borderId="0" xfId="0" applyNumberFormat="1" applyFont="1"/>
    <xf numFmtId="1" fontId="10" fillId="0" borderId="0" xfId="0" applyNumberFormat="1" applyFont="1"/>
    <xf numFmtId="166" fontId="10" fillId="0" borderId="0" xfId="0" applyNumberFormat="1" applyFont="1"/>
    <xf numFmtId="10" fontId="0" fillId="0" borderId="1" xfId="2" applyNumberFormat="1" applyFont="1" applyFill="1" applyBorder="1"/>
    <xf numFmtId="0" fontId="12" fillId="0" borderId="0" xfId="0" applyFont="1"/>
    <xf numFmtId="1" fontId="12" fillId="0" borderId="0" xfId="0" applyNumberFormat="1" applyFont="1"/>
    <xf numFmtId="2" fontId="12" fillId="0" borderId="0" xfId="0" applyNumberFormat="1" applyFont="1"/>
    <xf numFmtId="166" fontId="12" fillId="0" borderId="0" xfId="0" applyNumberFormat="1" applyFont="1"/>
    <xf numFmtId="9" fontId="0" fillId="0" borderId="0" xfId="0" applyNumberFormat="1"/>
    <xf numFmtId="0" fontId="0" fillId="0" borderId="0" xfId="0" applyAlignment="1">
      <alignment horizontal="right"/>
    </xf>
    <xf numFmtId="14" fontId="0" fillId="0" borderId="0" xfId="0" applyNumberFormat="1"/>
    <xf numFmtId="167" fontId="0" fillId="0" borderId="0" xfId="0" applyNumberFormat="1"/>
    <xf numFmtId="9" fontId="0" fillId="0" borderId="0" xfId="2" applyFont="1"/>
    <xf numFmtId="0" fontId="10" fillId="0" borderId="0" xfId="0" applyFont="1" applyFill="1"/>
  </cellXfs>
  <cellStyles count="3">
    <cellStyle name="Currency" xfId="1" builtinId="4"/>
    <cellStyle name="Normal" xfId="0" builtinId="0"/>
    <cellStyle name="Percent" xfId="2"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person displayName="Zachariah, Jacob" id="{3FCB1AB8-FEF3-4CAF-BB87-9CCA9BB71C33}" userId="S::jzacha02@atkearney.com::7b17845c-ba64-40a6-9ac6-001651f17d2c" providerId="AD"/>
  <person displayName="Farrand, Luke" id="{56D74B5C-0493-475A-A621-70C3CEF9B70F}" userId="S::lfarra01@atkearney.com::51075336-ef44-4dce-b2d6-9406fcf1039d"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1" dT="2026-03-27T14:39:28.70" personId="{56D74B5C-0493-475A-A621-70C3CEF9B70F}" id="{A2D4AEB1-9C33-4BA9-ADB1-900D570F75D4}">
    <text>This isn’t consistent with the risk profile on the next tab</text>
  </threadedComment>
</ThreadedComments>
</file>

<file path=xl/threadedComments/threadedComment2.xml><?xml version="1.0" encoding="utf-8"?>
<ThreadedComments xmlns="http://schemas.microsoft.com/office/spreadsheetml/2018/threadedcomments" xmlns:x="http://schemas.openxmlformats.org/spreadsheetml/2006/main">
  <threadedComment ref="I1" dT="2026-03-27T08:36:09.49" personId="{56D74B5C-0493-475A-A621-70C3CEF9B70F}" id="{7C7FF5AE-5847-4161-AD0F-57ACC4EC870F}">
    <text>Not correct</text>
  </threadedComment>
  <threadedComment ref="I1" dT="2026-03-27T09:47:18.89" personId="{3FCB1AB8-FEF3-4CAF-BB87-9CCA9BB71C33}" id="{36D8AAF3-6EF6-495E-A881-135A463347CA}" parentId="{7C7FF5AE-5847-4161-AD0F-57ACC4EC870F}">
    <text>Picked the risk profile from Omar’s Persona Excel: Sheet ‘Persona Overview’, Cell B22. Do let us know what this needs to be changed to please?</text>
  </threadedComment>
  <threadedComment ref="K1" dT="2026-03-27T08:36:40.74" personId="{56D74B5C-0493-475A-A621-70C3CEF9B70F}" id="{64A52424-D23A-4069-B4DC-FC45D903D4F0}">
    <text>Not correct</text>
  </threadedComment>
  <threadedComment ref="K1" dT="2026-03-27T09:50:24.46" personId="{3FCB1AB8-FEF3-4CAF-BB87-9CCA9BB71C33}" id="{2BF207BC-47C2-41E8-AD1A-21531AA6E118}" parentId="{64A52424-D23A-4069-B4DC-FC45D903D4F0}">
    <text>We calculated net worth based on the portfolio sheet in Omar’s persona excel. Total portfolio + flat equaled ~650k USD. Added a buffer to bring this to 800k. Do let us know what the ideal value should be.</text>
  </threadedComment>
  <threadedComment ref="K1" dT="2026-03-27T14:39:55.28" personId="{56D74B5C-0493-475A-A621-70C3CEF9B70F}" id="{652E5773-ECAE-425E-A0CD-804262D851CC}" parentId="{64A52424-D23A-4069-B4DC-FC45D903D4F0}">
    <text>What buffer? What does that mean</text>
  </threadedComment>
  <threadedComment ref="K1" dT="2026-03-27T15:09:11.07" personId="{3FCB1AB8-FEF3-4CAF-BB87-9CCA9BB71C33}" id="{C06A9223-362E-4D5F-AB4A-6DF314EB3663}" parentId="{64A52424-D23A-4069-B4DC-FC45D903D4F0}">
    <text xml:space="preserve">How does the LLM answer the delta between recorded net worth vs unrecorded net worth - </text>
  </threadedComment>
  <threadedComment ref="M1" dT="2026-03-27T08:36:49.74" personId="{56D74B5C-0493-475A-A621-70C3CEF9B70F}" id="{73550CAC-1FEC-4EEC-97BA-92DD7E44C8CF}">
    <text>Does it make sense to have this here? Then we are maintaining goals in 2 places</text>
  </threadedComment>
  <threadedComment ref="M1" dT="2026-03-27T09:51:51.73" personId="{3FCB1AB8-FEF3-4CAF-BB87-9CCA9BB71C33}" id="{26CC3D2B-EF19-4B5F-8029-6DE16A907573}" parentId="{73550CAC-1FEC-4EEC-97BA-92DD7E44C8CF}">
    <text>Hamza said we arent changing the schema at this point and therefore retained it. Here you see total goal target across goals with the goal table breaking this down.</text>
  </threadedComment>
  <threadedComment ref="O2" dT="2026-03-27T15:36:13.22" personId="{3FCB1AB8-FEF3-4CAF-BB87-9CCA9BB71C33}" id="{EA0EADFB-8D8E-4F0B-B742-90B545525A22}">
    <text>The LLM should understand this and the start date of the relationship and therefore all the initial transaction are attribute to this. - Check with Hamza</text>
  </threadedComment>
</ThreadedComments>
</file>

<file path=xl/threadedComments/threadedComment3.xml><?xml version="1.0" encoding="utf-8"?>
<ThreadedComments xmlns="http://schemas.microsoft.com/office/spreadsheetml/2018/threadedcomments" xmlns:x="http://schemas.openxmlformats.org/spreadsheetml/2006/main">
  <threadedComment ref="F1" dT="2026-03-27T08:38:19.58" personId="{56D74B5C-0493-475A-A621-70C3CEF9B70F}" id="{C707C21E-8F68-43E7-B604-6A2F09DD5E27}">
    <text>I assume these %s tie up with the holdings view</text>
  </threadedComment>
  <threadedComment ref="F1" dT="2026-03-27T09:52:25.03" personId="{3FCB1AB8-FEF3-4CAF-BB87-9CCA9BB71C33}" id="{318B780C-0EFC-4C24-BBD4-842C0DB7BCD6}" parentId="{C707C21E-8F68-43E7-B604-6A2F09DD5E27}">
    <text>Yes. Hamza will also run scripts that validates this.</text>
  </threadedComment>
</ThreadedComments>
</file>

<file path=xl/threadedComments/threadedComment4.xml><?xml version="1.0" encoding="utf-8"?>
<ThreadedComments xmlns="http://schemas.microsoft.com/office/spreadsheetml/2018/threadedcomments" xmlns:x="http://schemas.openxmlformats.org/spreadsheetml/2006/main">
  <threadedComment ref="G1" dT="2026-03-27T09:00:14.88" personId="{56D74B5C-0493-475A-A621-70C3CEF9B70F}" id="{904E5448-CFC5-4755-AFB6-DAD57C4D1FE7}">
    <text>I suggest we may want to have the account held in this table so it becomes easier to manager rather than having across the connected account piece as well</text>
  </threadedComment>
  <threadedComment ref="G1" dT="2026-03-27T09:57:27.40" personId="{3FCB1AB8-FEF3-4CAF-BB87-9CCA9BB71C33}" id="{BBF9243F-B2AA-4690-B5C7-B436A7B95E9A}" parentId="{904E5448-CFC5-4755-AFB6-DAD57C4D1FE7}">
    <text>Could you please explain this further? Are we referring to something beyond the WIO bank account at the bottom?</text>
  </threadedComment>
  <threadedComment ref="G1" dT="2026-03-27T14:41:37.49" personId="{56D74B5C-0493-475A-A621-70C3CEF9B70F}" id="{6CD2FF1A-6126-41E7-8EFC-53D4A81E921C}" parentId="{904E5448-CFC5-4755-AFB6-DAD57C4D1FE7}">
    <text>In the omar persona excel, the Nvidia and Apple stocks are held in his IBRK account. Column C in the portfolio tab</text>
  </threadedComment>
</ThreadedComments>
</file>

<file path=xl/threadedComments/threadedComment5.xml><?xml version="1.0" encoding="utf-8"?>
<ThreadedComments xmlns="http://schemas.microsoft.com/office/spreadsheetml/2018/threadedcomments" xmlns:x="http://schemas.openxmlformats.org/spreadsheetml/2006/main">
  <threadedComment ref="C1" dT="2026-03-27T08:49:11.57" personId="{56D74B5C-0493-475A-A621-70C3CEF9B70F}" id="{98D4FE30-7C85-4377-B480-1873225E2D97}">
    <text>Are dividend dates roughly correct?</text>
  </threadedComment>
  <threadedComment ref="C1" dT="2026-03-27T08:55:16.68" personId="{56D74B5C-0493-475A-A621-70C3CEF9B70F}" id="{29E3C210-41D5-4C70-9EFF-1F4777239273}" parentId="{98D4FE30-7C85-4377-B480-1873225E2D97}">
    <text>Summing the ‘buys’ gives a greater value than the average cost base for the portfolio</text>
  </threadedComment>
  <threadedComment ref="C1" dT="2026-03-27T08:57:25.87" personId="{56D74B5C-0493-475A-A621-70C3CEF9B70F}" id="{E28CE8C9-83ED-49AC-B9DD-883A4AE8A0B6}" parentId="{98D4FE30-7C85-4377-B480-1873225E2D97}">
    <text>Do we need to define the starting point of the portfolio better? As I can tell, this transaction data shows a build up to the full portfolio value over the course of the 1 year period which wouldn’t be realistic (e.g. there should be a starting balance to some of these asset classes?). Else questions on monthly contributions etc. will look ridiculous</text>
  </threadedComment>
  <threadedComment ref="C1" dT="2026-03-27T08:58:09.05" personId="{56D74B5C-0493-475A-A621-70C3CEF9B70F}" id="{51325A93-FA56-4206-91DC-26D88F9BE9DF}" parentId="{98D4FE30-7C85-4377-B480-1873225E2D97}">
    <text>Where is the value of the ‘sell’ cash going?</text>
  </threadedComment>
  <threadedComment ref="C1" dT="2026-03-27T09:00:59.41" personId="{56D74B5C-0493-475A-A621-70C3CEF9B70F}" id="{FFBCCFE6-A419-42D5-BC07-A0F69FA6D0E9}" parentId="{98D4FE30-7C85-4377-B480-1873225E2D97}">
    <text>As with the ‘sell’ comment, where are the dividends &amp; coupons going?</text>
  </threadedComment>
  <threadedComment ref="C1" dT="2026-03-27T14:26:09.12" personId="{3FCB1AB8-FEF3-4CAF-BB87-9CCA9BB71C33}" id="{5035AB8F-498E-4138-BA28-B55838CB2CA6}" parentId="{98D4FE30-7C85-4377-B480-1873225E2D97}">
    <text xml:space="preserve">Holdings + Cash = Buys - Sells - Fees. With some rounding errors. We have worked on maintaining this balance across the holdings and transactions table. Hope this makes sense. We have also ensured that deposits are also reconciling. Formula used : Ending cash = Deposits + Sells + Income - Buys - Fees </text>
  </threadedComment>
</ThreadedComments>
</file>

<file path=xl/threadedComments/threadedComment6.xml><?xml version="1.0" encoding="utf-8"?>
<ThreadedComments xmlns="http://schemas.microsoft.com/office/spreadsheetml/2018/threadedcomments" xmlns:x="http://schemas.openxmlformats.org/spreadsheetml/2006/main">
  <threadedComment ref="H2" dT="2026-03-27T08:59:20.95" personId="{56D74B5C-0493-475A-A621-70C3CEF9B70F}" id="{BD417CEF-604A-4B85-BFF5-7085502799B1}">
    <text>Is this correct? This doesn’t tie in with the transaction table</text>
  </threadedComment>
  <threadedComment ref="H2" dT="2026-03-27T12:42:05.11" personId="{3FCB1AB8-FEF3-4CAF-BB87-9CCA9BB71C33}" id="{1E048A46-D59A-4DDA-AA70-A98802A215A0}" parentId="{BD417CEF-604A-4B85-BFF5-7085502799B1}">
    <text>Transaction table is now fixed. This was the target monthly contribution. In the transaction table we had much higher numbers. We have no redistributed it so that it aligns with a realistic monthly contribution</text>
  </threadedComment>
</ThreadedComments>
</file>

<file path=xl/threadedComments/threadedComment7.xml><?xml version="1.0" encoding="utf-8"?>
<ThreadedComments xmlns="http://schemas.microsoft.com/office/spreadsheetml/2018/threadedcomments" xmlns:x="http://schemas.openxmlformats.org/spreadsheetml/2006/main">
  <threadedComment ref="A1" dT="2026-03-27T08:41:10.51" personId="{56D74B5C-0493-475A-A621-70C3CEF9B70F}" id="{3A5CFDE5-125E-4C81-A52D-92C6A1E25851}">
    <text>As per the sheet I had shared, can we add the geography and industry for these? Or will this be covered in the Yahoo Finance dataset?</text>
  </threadedComment>
  <threadedComment ref="A1" dT="2026-03-27T14:26:54.45" personId="{3FCB1AB8-FEF3-4CAF-BB87-9CCA9BB71C33}" id="{2C08F77C-2425-4AAA-8580-05E3BC27F8E3}" parentId="{3A5CFDE5-125E-4C81-A52D-92C6A1E25851}">
    <text>This should be covered by the external datasets. Only tickers / Primary key to pull the data is required.</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2002EE44-2170-4D0A-84D4-FFB5D1E591C7}">
  <we:reference id="cba9fc06-6fc9-492e-9525-923870a3b909" version="1.0.0.0" store="EXCatalog" storeType="EXCatalog"/>
  <we:alternateReferences>
    <we:reference id="WA200010215" version="1.0.0.0" store="en-US" storeType="OMEX"/>
  </we:alternateReferences>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3" Type="http://schemas.microsoft.com/office/2017/10/relationships/threadedComment" Target="../threadedComments/threadedComment5.xml"/><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3" Type="http://schemas.microsoft.com/office/2017/10/relationships/threadedComment" Target="../threadedComments/threadedComment6.xml"/><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9.xml.rels><?xml version="1.0" encoding="UTF-8" standalone="yes"?>
<Relationships xmlns="http://schemas.openxmlformats.org/package/2006/relationships"><Relationship Id="rId3" Type="http://schemas.microsoft.com/office/2017/10/relationships/threadedComment" Target="../threadedComments/threadedComment7.xml"/><Relationship Id="rId2" Type="http://schemas.openxmlformats.org/officeDocument/2006/relationships/comments" Target="../comments7.xml"/><Relationship Id="rId1" Type="http://schemas.openxmlformats.org/officeDocument/2006/relationships/vmlDrawing" Target="../drawings/vmlDrawing7.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40"/>
  <sheetViews>
    <sheetView zoomScale="102" workbookViewId="0">
      <selection activeCell="A9" sqref="A9"/>
    </sheetView>
  </sheetViews>
  <sheetFormatPr defaultRowHeight="14.4" x14ac:dyDescent="0.3"/>
  <cols>
    <col min="1" max="1" width="80" customWidth="1"/>
  </cols>
  <sheetData>
    <row r="1" spans="1:1" ht="18" x14ac:dyDescent="0.35">
      <c r="A1" s="1" t="s">
        <v>0</v>
      </c>
    </row>
    <row r="3" spans="1:1" x14ac:dyDescent="0.3">
      <c r="A3" t="s">
        <v>1</v>
      </c>
    </row>
    <row r="4" spans="1:1" x14ac:dyDescent="0.3">
      <c r="A4" t="s">
        <v>2</v>
      </c>
    </row>
    <row r="6" spans="1:1" x14ac:dyDescent="0.3">
      <c r="A6" t="s">
        <v>3</v>
      </c>
    </row>
    <row r="7" spans="1:1" x14ac:dyDescent="0.3">
      <c r="A7" t="s">
        <v>4</v>
      </c>
    </row>
    <row r="8" spans="1:1" x14ac:dyDescent="0.3">
      <c r="A8" t="s">
        <v>5</v>
      </c>
    </row>
    <row r="10" spans="1:1" x14ac:dyDescent="0.3">
      <c r="A10" t="s">
        <v>6</v>
      </c>
    </row>
    <row r="11" spans="1:1" x14ac:dyDescent="0.3">
      <c r="A11" t="s">
        <v>7</v>
      </c>
    </row>
    <row r="12" spans="1:1" x14ac:dyDescent="0.3">
      <c r="A12" t="s">
        <v>8</v>
      </c>
    </row>
    <row r="13" spans="1:1" x14ac:dyDescent="0.3">
      <c r="A13" t="s">
        <v>9</v>
      </c>
    </row>
    <row r="14" spans="1:1" x14ac:dyDescent="0.3">
      <c r="A14" t="s">
        <v>10</v>
      </c>
    </row>
    <row r="15" spans="1:1" x14ac:dyDescent="0.3">
      <c r="A15" t="s">
        <v>11</v>
      </c>
    </row>
    <row r="16" spans="1:1" x14ac:dyDescent="0.3">
      <c r="A16" t="s">
        <v>12</v>
      </c>
    </row>
    <row r="17" spans="1:1" x14ac:dyDescent="0.3">
      <c r="A17" t="s">
        <v>13</v>
      </c>
    </row>
    <row r="18" spans="1:1" x14ac:dyDescent="0.3">
      <c r="A18" t="s">
        <v>14</v>
      </c>
    </row>
    <row r="19" spans="1:1" x14ac:dyDescent="0.3">
      <c r="A19" t="s">
        <v>15</v>
      </c>
    </row>
    <row r="20" spans="1:1" x14ac:dyDescent="0.3">
      <c r="A20" t="s">
        <v>16</v>
      </c>
    </row>
    <row r="21" spans="1:1" x14ac:dyDescent="0.3">
      <c r="A21" t="s">
        <v>17</v>
      </c>
    </row>
    <row r="22" spans="1:1" x14ac:dyDescent="0.3">
      <c r="A22" t="s">
        <v>18</v>
      </c>
    </row>
    <row r="23" spans="1:1" x14ac:dyDescent="0.3">
      <c r="A23" t="s">
        <v>19</v>
      </c>
    </row>
    <row r="24" spans="1:1" x14ac:dyDescent="0.3">
      <c r="A24" t="s">
        <v>20</v>
      </c>
    </row>
    <row r="26" spans="1:1" x14ac:dyDescent="0.3">
      <c r="A26" t="s">
        <v>21</v>
      </c>
    </row>
    <row r="27" spans="1:1" x14ac:dyDescent="0.3">
      <c r="A27" s="2" t="s">
        <v>22</v>
      </c>
    </row>
    <row r="28" spans="1:1" x14ac:dyDescent="0.3">
      <c r="A28" s="2" t="s">
        <v>23</v>
      </c>
    </row>
    <row r="29" spans="1:1" x14ac:dyDescent="0.3">
      <c r="A29" s="2" t="s">
        <v>24</v>
      </c>
    </row>
    <row r="30" spans="1:1" x14ac:dyDescent="0.3">
      <c r="A30" s="2" t="s">
        <v>25</v>
      </c>
    </row>
    <row r="31" spans="1:1" x14ac:dyDescent="0.3">
      <c r="A31" s="2" t="s">
        <v>26</v>
      </c>
    </row>
    <row r="32" spans="1:1" x14ac:dyDescent="0.3">
      <c r="A32" s="2" t="s">
        <v>27</v>
      </c>
    </row>
    <row r="33" spans="1:1" x14ac:dyDescent="0.3">
      <c r="A33" s="2" t="s">
        <v>28</v>
      </c>
    </row>
    <row r="34" spans="1:1" x14ac:dyDescent="0.3">
      <c r="A34" s="2" t="s">
        <v>29</v>
      </c>
    </row>
    <row r="36" spans="1:1" x14ac:dyDescent="0.3">
      <c r="A36" t="s">
        <v>30</v>
      </c>
    </row>
    <row r="37" spans="1:1" x14ac:dyDescent="0.3">
      <c r="A37" t="s">
        <v>31</v>
      </c>
    </row>
    <row r="38" spans="1:1" x14ac:dyDescent="0.3">
      <c r="A38" t="s">
        <v>32</v>
      </c>
    </row>
    <row r="39" spans="1:1" x14ac:dyDescent="0.3">
      <c r="A39" t="s">
        <v>33</v>
      </c>
    </row>
    <row r="40" spans="1:1" x14ac:dyDescent="0.3">
      <c r="A40" t="s">
        <v>34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5"/>
  <sheetViews>
    <sheetView tabSelected="1" zoomScale="102" zoomScaleNormal="130" workbookViewId="0">
      <selection activeCell="B14" sqref="B14"/>
    </sheetView>
  </sheetViews>
  <sheetFormatPr defaultRowHeight="14.4" x14ac:dyDescent="0.3"/>
  <cols>
    <col min="1" max="1" width="21.6640625" bestFit="1" customWidth="1"/>
    <col min="2" max="2" width="13" customWidth="1"/>
    <col min="3" max="3" width="13.44140625" bestFit="1" customWidth="1"/>
    <col min="4" max="4" width="15" customWidth="1"/>
    <col min="5" max="5" width="11" customWidth="1"/>
    <col min="6" max="6" width="9" customWidth="1"/>
    <col min="7" max="7" width="35" customWidth="1"/>
  </cols>
  <sheetData>
    <row r="1" spans="1:7" x14ac:dyDescent="0.3">
      <c r="A1" s="3" t="s">
        <v>35</v>
      </c>
      <c r="B1" s="3" t="s">
        <v>36</v>
      </c>
      <c r="C1" s="3" t="s">
        <v>37</v>
      </c>
      <c r="D1" s="3" t="s">
        <v>38</v>
      </c>
      <c r="E1" s="3" t="s">
        <v>39</v>
      </c>
      <c r="F1" s="3" t="s">
        <v>40</v>
      </c>
      <c r="G1" s="3" t="s">
        <v>41</v>
      </c>
    </row>
    <row r="2" spans="1:7" x14ac:dyDescent="0.3">
      <c r="A2" s="8" t="s">
        <v>194</v>
      </c>
      <c r="B2" s="4" t="s">
        <v>45</v>
      </c>
      <c r="C2" s="4" t="s">
        <v>193</v>
      </c>
      <c r="D2" s="4" t="s">
        <v>238</v>
      </c>
      <c r="E2" s="4" t="b">
        <v>0</v>
      </c>
      <c r="F2" s="4" t="s">
        <v>43</v>
      </c>
      <c r="G2" s="6" t="s">
        <v>44</v>
      </c>
    </row>
    <row r="3" spans="1:7" x14ac:dyDescent="0.3">
      <c r="A3" s="4"/>
      <c r="B3" s="4"/>
      <c r="C3" s="4"/>
      <c r="D3" s="4"/>
      <c r="E3" s="4"/>
      <c r="F3" s="4"/>
      <c r="G3" s="4"/>
    </row>
    <row r="4" spans="1:7" x14ac:dyDescent="0.3">
      <c r="A4" s="4"/>
      <c r="B4" s="4"/>
      <c r="C4" s="4"/>
      <c r="D4" s="4"/>
      <c r="E4" s="4"/>
      <c r="F4" s="4"/>
      <c r="G4" s="4"/>
    </row>
    <row r="5" spans="1:7" x14ac:dyDescent="0.3">
      <c r="A5" s="4"/>
      <c r="B5" s="4"/>
      <c r="C5" s="4"/>
      <c r="D5" s="4"/>
      <c r="E5" s="4"/>
      <c r="F5" s="4"/>
      <c r="G5" s="4"/>
    </row>
    <row r="6" spans="1:7" x14ac:dyDescent="0.3">
      <c r="A6" s="4"/>
      <c r="B6" s="4"/>
      <c r="C6" s="4"/>
      <c r="D6" s="4"/>
      <c r="E6" s="4"/>
      <c r="F6" s="4"/>
      <c r="G6" s="4"/>
    </row>
    <row r="7" spans="1:7" x14ac:dyDescent="0.3">
      <c r="A7" s="4"/>
      <c r="B7" s="4"/>
      <c r="C7" s="4"/>
      <c r="D7" s="4"/>
      <c r="E7" s="4"/>
      <c r="F7" s="4"/>
      <c r="G7" s="4"/>
    </row>
    <row r="8" spans="1:7" x14ac:dyDescent="0.3">
      <c r="A8" s="4"/>
      <c r="B8" s="4"/>
      <c r="C8" s="4"/>
      <c r="D8" s="4"/>
      <c r="E8" s="4"/>
      <c r="F8" s="4"/>
      <c r="G8" s="4"/>
    </row>
    <row r="9" spans="1:7" x14ac:dyDescent="0.3">
      <c r="A9" s="4"/>
      <c r="B9" s="4"/>
      <c r="C9" s="4"/>
      <c r="D9" s="4"/>
      <c r="E9" s="4"/>
      <c r="F9" s="4"/>
      <c r="G9" s="4"/>
    </row>
    <row r="10" spans="1:7" x14ac:dyDescent="0.3">
      <c r="A10" s="4"/>
      <c r="B10" s="4"/>
      <c r="C10" s="4"/>
      <c r="D10" s="4"/>
      <c r="E10" s="4"/>
      <c r="F10" s="4"/>
      <c r="G10" s="4"/>
    </row>
    <row r="11" spans="1:7" x14ac:dyDescent="0.3">
      <c r="A11" s="4"/>
      <c r="B11" s="4"/>
      <c r="C11" s="4"/>
      <c r="D11" s="4"/>
      <c r="E11" s="4"/>
      <c r="F11" s="4"/>
      <c r="G11" s="4"/>
    </row>
    <row r="13" spans="1:7" x14ac:dyDescent="0.3">
      <c r="A13" s="4"/>
      <c r="B13" s="4"/>
      <c r="C13" s="4"/>
      <c r="D13" s="4"/>
      <c r="E13" s="4"/>
      <c r="F13" s="4"/>
      <c r="G13" s="4"/>
    </row>
    <row r="14" spans="1:7" x14ac:dyDescent="0.3">
      <c r="A14" s="4"/>
      <c r="B14" s="4"/>
      <c r="C14" s="4"/>
      <c r="D14" s="4"/>
      <c r="E14" s="4"/>
      <c r="F14" s="4"/>
      <c r="G14" s="4"/>
    </row>
    <row r="15" spans="1:7" x14ac:dyDescent="0.3">
      <c r="A15" s="4"/>
      <c r="B15" s="4"/>
      <c r="C15" s="4"/>
      <c r="D15" s="4"/>
      <c r="E15" s="4"/>
      <c r="F15" s="4"/>
      <c r="G15" s="4"/>
    </row>
  </sheetData>
  <pageMargins left="0.75" right="0.75" top="1" bottom="1" header="0.5" footer="0.5"/>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5"/>
  <sheetViews>
    <sheetView topLeftCell="I1" workbookViewId="0">
      <selection activeCell="O2" sqref="O2"/>
    </sheetView>
  </sheetViews>
  <sheetFormatPr defaultRowHeight="14.4" x14ac:dyDescent="0.3"/>
  <cols>
    <col min="1" max="1" width="14" customWidth="1"/>
    <col min="2" max="2" width="21.6640625" bestFit="1" customWidth="1"/>
    <col min="3" max="3" width="13" customWidth="1"/>
    <col min="4" max="4" width="14" customWidth="1"/>
    <col min="5" max="5" width="6" customWidth="1"/>
    <col min="6" max="6" width="9" customWidth="1"/>
    <col min="7" max="7" width="14" customWidth="1"/>
    <col min="8" max="8" width="16" customWidth="1"/>
    <col min="9" max="9" width="15" customWidth="1"/>
    <col min="10" max="10" width="16" customWidth="1"/>
    <col min="11" max="11" width="13" customWidth="1"/>
    <col min="12" max="12" width="24" bestFit="1" customWidth="1"/>
    <col min="13" max="13" width="14" customWidth="1"/>
    <col min="14" max="14" width="17" customWidth="1"/>
    <col min="15" max="15" width="21" customWidth="1"/>
  </cols>
  <sheetData>
    <row r="1" spans="1:15" x14ac:dyDescent="0.3">
      <c r="A1" s="3" t="s">
        <v>46</v>
      </c>
      <c r="B1" s="3" t="s">
        <v>35</v>
      </c>
      <c r="C1" s="3" t="s">
        <v>36</v>
      </c>
      <c r="D1" s="3" t="s">
        <v>37</v>
      </c>
      <c r="E1" s="3" t="s">
        <v>47</v>
      </c>
      <c r="F1" s="3" t="s">
        <v>48</v>
      </c>
      <c r="G1" s="3" t="s">
        <v>49</v>
      </c>
      <c r="H1" s="3" t="s">
        <v>50</v>
      </c>
      <c r="I1" s="3" t="s">
        <v>38</v>
      </c>
      <c r="J1" s="3" t="s">
        <v>51</v>
      </c>
      <c r="K1" s="3" t="s">
        <v>52</v>
      </c>
      <c r="L1" s="3" t="s">
        <v>53</v>
      </c>
      <c r="M1" s="3" t="s">
        <v>54</v>
      </c>
      <c r="N1" s="3" t="s">
        <v>55</v>
      </c>
      <c r="O1" s="3" t="s">
        <v>56</v>
      </c>
    </row>
    <row r="2" spans="1:15" x14ac:dyDescent="0.3">
      <c r="A2" s="7"/>
      <c r="B2" s="8" t="s">
        <v>194</v>
      </c>
      <c r="C2" s="4" t="s">
        <v>45</v>
      </c>
      <c r="D2" s="4" t="s">
        <v>193</v>
      </c>
      <c r="E2" s="4">
        <v>38</v>
      </c>
      <c r="F2" s="4" t="s">
        <v>59</v>
      </c>
      <c r="G2" s="4" t="s">
        <v>195</v>
      </c>
      <c r="H2" s="4" t="s">
        <v>57</v>
      </c>
      <c r="I2" s="4" t="s">
        <v>238</v>
      </c>
      <c r="J2" s="5">
        <v>131000</v>
      </c>
      <c r="K2" s="5">
        <v>642608</v>
      </c>
      <c r="L2" s="4" t="s">
        <v>196</v>
      </c>
      <c r="M2" s="5">
        <v>140000</v>
      </c>
      <c r="N2" s="4" t="s">
        <v>60</v>
      </c>
      <c r="O2" s="10">
        <v>45660</v>
      </c>
    </row>
    <row r="3" spans="1:15" x14ac:dyDescent="0.3">
      <c r="A3" s="4"/>
      <c r="B3" s="4"/>
      <c r="C3" s="4"/>
      <c r="D3" s="4"/>
      <c r="E3" s="4"/>
      <c r="F3" s="4"/>
      <c r="G3" s="4"/>
      <c r="H3" s="4"/>
      <c r="I3" s="4"/>
      <c r="J3" s="5"/>
      <c r="K3" s="5"/>
      <c r="L3" s="4"/>
      <c r="M3" s="5"/>
      <c r="N3" s="4"/>
      <c r="O3" s="4"/>
    </row>
    <row r="4" spans="1:15" x14ac:dyDescent="0.3">
      <c r="A4" s="4"/>
      <c r="B4" s="4"/>
      <c r="C4" s="4"/>
      <c r="D4" s="4"/>
      <c r="E4" s="4"/>
      <c r="F4" s="4"/>
      <c r="G4" s="4"/>
      <c r="H4" s="4"/>
      <c r="I4" s="4"/>
      <c r="J4" s="5"/>
      <c r="K4" s="5"/>
      <c r="L4" s="4"/>
      <c r="M4" s="5"/>
      <c r="N4" s="4"/>
      <c r="O4" s="4"/>
    </row>
    <row r="5" spans="1:15" x14ac:dyDescent="0.3">
      <c r="A5" s="4"/>
      <c r="B5" s="4"/>
      <c r="C5" s="4"/>
      <c r="D5" s="4"/>
      <c r="E5" s="4"/>
      <c r="F5" s="4"/>
      <c r="G5" s="4"/>
      <c r="H5" s="4"/>
      <c r="I5" s="4"/>
      <c r="J5" s="5"/>
      <c r="K5" s="5"/>
      <c r="L5" s="4"/>
      <c r="M5" s="5"/>
      <c r="N5" s="4"/>
      <c r="O5" s="4"/>
    </row>
  </sheetData>
  <pageMargins left="0.75" right="0.75" top="1" bottom="1" header="0.5" footer="0.5"/>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2"/>
  <sheetViews>
    <sheetView zoomScaleNormal="100" workbookViewId="0">
      <selection activeCell="T11" sqref="T11"/>
    </sheetView>
  </sheetViews>
  <sheetFormatPr defaultRowHeight="14.4" x14ac:dyDescent="0.3"/>
  <cols>
    <col min="1" max="2" width="21" customWidth="1"/>
    <col min="3" max="3" width="11" customWidth="1"/>
    <col min="4" max="4" width="15" customWidth="1"/>
    <col min="5" max="5" width="9" customWidth="1"/>
    <col min="6" max="6" width="11" customWidth="1"/>
    <col min="7" max="7" width="10" customWidth="1"/>
    <col min="8" max="8" width="9" customWidth="1"/>
    <col min="9" max="9" width="11" customWidth="1"/>
    <col min="10" max="10" width="16" customWidth="1"/>
    <col min="11" max="11" width="17" customWidth="1"/>
  </cols>
  <sheetData>
    <row r="1" spans="1:11" x14ac:dyDescent="0.3">
      <c r="A1" s="3" t="s">
        <v>62</v>
      </c>
      <c r="B1" s="3" t="s">
        <v>63</v>
      </c>
      <c r="C1" s="3" t="s">
        <v>64</v>
      </c>
      <c r="D1" s="3" t="s">
        <v>65</v>
      </c>
      <c r="E1" s="3" t="s">
        <v>66</v>
      </c>
      <c r="F1" s="3" t="s">
        <v>67</v>
      </c>
      <c r="G1" s="3" t="s">
        <v>68</v>
      </c>
      <c r="H1" s="3" t="s">
        <v>69</v>
      </c>
      <c r="I1" s="3" t="s">
        <v>70</v>
      </c>
      <c r="J1" s="3" t="s">
        <v>71</v>
      </c>
      <c r="K1" s="3" t="s">
        <v>72</v>
      </c>
    </row>
    <row r="2" spans="1:11" x14ac:dyDescent="0.3">
      <c r="A2" s="4" t="s">
        <v>74</v>
      </c>
      <c r="B2" s="8" t="s">
        <v>194</v>
      </c>
      <c r="C2" s="4" t="s">
        <v>196</v>
      </c>
      <c r="D2" s="4" t="s">
        <v>42</v>
      </c>
      <c r="E2" s="4" t="s">
        <v>73</v>
      </c>
      <c r="F2" s="18">
        <v>64.400000000000006</v>
      </c>
      <c r="G2" s="18">
        <v>13.06</v>
      </c>
      <c r="H2" s="18">
        <v>12.78</v>
      </c>
      <c r="I2" s="18">
        <v>4.0599999999999996</v>
      </c>
      <c r="J2" s="18">
        <v>3.45</v>
      </c>
      <c r="K2" s="18">
        <v>2.25</v>
      </c>
    </row>
  </sheetData>
  <pageMargins left="0.75" right="0.75" top="1" bottom="1" header="0.5" footer="0.5"/>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27"/>
  <sheetViews>
    <sheetView zoomScaleNormal="100" workbookViewId="0">
      <selection activeCell="C1" sqref="C1:C17"/>
    </sheetView>
  </sheetViews>
  <sheetFormatPr defaultRowHeight="14.4" x14ac:dyDescent="0.3"/>
  <cols>
    <col min="1" max="3" width="21" customWidth="1"/>
    <col min="4" max="4" width="10" customWidth="1"/>
    <col min="5" max="5" width="38" customWidth="1"/>
    <col min="6" max="6" width="14" customWidth="1"/>
    <col min="7" max="7" width="15" customWidth="1"/>
    <col min="8" max="8" width="11" customWidth="1"/>
    <col min="9" max="9" width="17" customWidth="1"/>
    <col min="10" max="11" width="16" customWidth="1"/>
    <col min="12" max="12" width="9" customWidth="1"/>
    <col min="14" max="14" width="11" bestFit="1" customWidth="1"/>
  </cols>
  <sheetData>
    <row r="1" spans="1:14" x14ac:dyDescent="0.3">
      <c r="A1" s="3" t="s">
        <v>63</v>
      </c>
      <c r="B1" s="3" t="s">
        <v>75</v>
      </c>
      <c r="C1" s="3" t="s">
        <v>241</v>
      </c>
      <c r="D1" s="3" t="s">
        <v>76</v>
      </c>
      <c r="E1" s="3" t="s">
        <v>77</v>
      </c>
      <c r="F1" s="3" t="s">
        <v>78</v>
      </c>
      <c r="G1" s="3" t="s">
        <v>79</v>
      </c>
      <c r="H1" s="3" t="s">
        <v>80</v>
      </c>
      <c r="I1" s="3" t="s">
        <v>81</v>
      </c>
      <c r="J1" s="3" t="s">
        <v>82</v>
      </c>
      <c r="K1" s="3" t="s">
        <v>83</v>
      </c>
      <c r="L1" s="3" t="s">
        <v>66</v>
      </c>
    </row>
    <row r="2" spans="1:14" x14ac:dyDescent="0.3">
      <c r="A2" s="8" t="s">
        <v>194</v>
      </c>
      <c r="B2" s="17" t="s">
        <v>74</v>
      </c>
      <c r="C2" s="17" t="s">
        <v>162</v>
      </c>
      <c r="D2" s="17" t="s">
        <v>84</v>
      </c>
      <c r="E2" s="17" t="s">
        <v>85</v>
      </c>
      <c r="F2" s="17" t="s">
        <v>86</v>
      </c>
      <c r="G2" s="17" t="s">
        <v>87</v>
      </c>
      <c r="H2" s="17">
        <v>82</v>
      </c>
      <c r="I2" s="18">
        <v>271.68</v>
      </c>
      <c r="J2" s="18">
        <v>299.70999999999998</v>
      </c>
      <c r="K2" s="17" t="s">
        <v>240</v>
      </c>
      <c r="L2" s="17" t="s">
        <v>73</v>
      </c>
      <c r="N2" s="17"/>
    </row>
    <row r="3" spans="1:14" x14ac:dyDescent="0.3">
      <c r="A3" s="8" t="s">
        <v>194</v>
      </c>
      <c r="B3" s="17" t="s">
        <v>74</v>
      </c>
      <c r="C3" s="17" t="s">
        <v>162</v>
      </c>
      <c r="D3" s="17" t="s">
        <v>122</v>
      </c>
      <c r="E3" s="17" t="s">
        <v>199</v>
      </c>
      <c r="F3" s="17" t="s">
        <v>86</v>
      </c>
      <c r="G3" s="17" t="s">
        <v>87</v>
      </c>
      <c r="H3" s="17">
        <v>31</v>
      </c>
      <c r="I3" s="18">
        <v>449.74</v>
      </c>
      <c r="J3" s="18">
        <v>483.35</v>
      </c>
      <c r="K3" s="17">
        <v>14984</v>
      </c>
      <c r="L3" s="17" t="s">
        <v>73</v>
      </c>
      <c r="N3" s="17"/>
    </row>
    <row r="4" spans="1:14" x14ac:dyDescent="0.3">
      <c r="A4" s="8" t="s">
        <v>194</v>
      </c>
      <c r="B4" s="17" t="s">
        <v>74</v>
      </c>
      <c r="C4" s="17" t="s">
        <v>162</v>
      </c>
      <c r="D4" s="17" t="s">
        <v>110</v>
      </c>
      <c r="E4" s="17" t="s">
        <v>111</v>
      </c>
      <c r="F4" s="17" t="s">
        <v>86</v>
      </c>
      <c r="G4" s="17" t="s">
        <v>87</v>
      </c>
      <c r="H4" s="17">
        <v>240</v>
      </c>
      <c r="I4" s="18">
        <v>48.95</v>
      </c>
      <c r="J4" s="18">
        <v>51.33</v>
      </c>
      <c r="K4" s="17">
        <v>12320</v>
      </c>
      <c r="L4" s="17" t="s">
        <v>73</v>
      </c>
      <c r="N4" s="17"/>
    </row>
    <row r="5" spans="1:14" x14ac:dyDescent="0.3">
      <c r="A5" s="8" t="s">
        <v>194</v>
      </c>
      <c r="B5" s="17" t="s">
        <v>74</v>
      </c>
      <c r="C5" s="17" t="s">
        <v>162</v>
      </c>
      <c r="D5" s="17" t="s">
        <v>200</v>
      </c>
      <c r="E5" s="17" t="s">
        <v>201</v>
      </c>
      <c r="F5" s="17" t="s">
        <v>86</v>
      </c>
      <c r="G5" s="17" t="s">
        <v>87</v>
      </c>
      <c r="H5" s="17">
        <v>58</v>
      </c>
      <c r="I5" s="18">
        <v>71.099999999999994</v>
      </c>
      <c r="J5" s="18">
        <v>73.38</v>
      </c>
      <c r="K5" s="17">
        <v>4256</v>
      </c>
      <c r="L5" s="17" t="s">
        <v>73</v>
      </c>
      <c r="N5" s="17"/>
    </row>
    <row r="6" spans="1:14" x14ac:dyDescent="0.3">
      <c r="A6" s="8" t="s">
        <v>194</v>
      </c>
      <c r="B6" s="17" t="s">
        <v>74</v>
      </c>
      <c r="C6" s="17" t="s">
        <v>162</v>
      </c>
      <c r="D6" s="17" t="s">
        <v>202</v>
      </c>
      <c r="E6" s="17" t="s">
        <v>203</v>
      </c>
      <c r="F6" s="17" t="s">
        <v>86</v>
      </c>
      <c r="G6" s="17" t="s">
        <v>87</v>
      </c>
      <c r="H6" s="17">
        <v>144</v>
      </c>
      <c r="I6" s="18">
        <v>26.33</v>
      </c>
      <c r="J6" s="18">
        <v>28</v>
      </c>
      <c r="K6" s="17">
        <v>4032</v>
      </c>
      <c r="L6" s="17" t="s">
        <v>73</v>
      </c>
      <c r="N6" s="17"/>
    </row>
    <row r="7" spans="1:14" x14ac:dyDescent="0.3">
      <c r="A7" s="8" t="s">
        <v>194</v>
      </c>
      <c r="B7" s="17" t="s">
        <v>74</v>
      </c>
      <c r="C7" s="17" t="s">
        <v>156</v>
      </c>
      <c r="D7" s="17" t="s">
        <v>118</v>
      </c>
      <c r="E7" s="17" t="s">
        <v>204</v>
      </c>
      <c r="F7" s="17" t="s">
        <v>86</v>
      </c>
      <c r="G7" s="17" t="s">
        <v>87</v>
      </c>
      <c r="H7" s="17">
        <v>162</v>
      </c>
      <c r="I7" s="18">
        <v>106.15</v>
      </c>
      <c r="J7" s="18">
        <v>120.64</v>
      </c>
      <c r="K7" s="17">
        <v>19543</v>
      </c>
      <c r="L7" s="17" t="s">
        <v>73</v>
      </c>
      <c r="N7" s="17"/>
    </row>
    <row r="8" spans="1:14" x14ac:dyDescent="0.3">
      <c r="A8" s="8" t="s">
        <v>194</v>
      </c>
      <c r="B8" s="17" t="s">
        <v>74</v>
      </c>
      <c r="C8" s="17" t="s">
        <v>156</v>
      </c>
      <c r="D8" s="17" t="s">
        <v>104</v>
      </c>
      <c r="E8" s="17" t="s">
        <v>105</v>
      </c>
      <c r="F8" s="17" t="s">
        <v>86</v>
      </c>
      <c r="G8" s="17" t="s">
        <v>87</v>
      </c>
      <c r="H8" s="17">
        <v>87</v>
      </c>
      <c r="I8" s="18">
        <v>198.46</v>
      </c>
      <c r="J8" s="18">
        <v>213.38</v>
      </c>
      <c r="K8" s="17">
        <v>18564</v>
      </c>
      <c r="L8" s="17" t="s">
        <v>73</v>
      </c>
      <c r="N8" s="17"/>
    </row>
    <row r="9" spans="1:14" x14ac:dyDescent="0.3">
      <c r="A9" s="8" t="s">
        <v>194</v>
      </c>
      <c r="B9" s="17" t="s">
        <v>74</v>
      </c>
      <c r="C9" s="17" t="s">
        <v>162</v>
      </c>
      <c r="D9" s="17" t="s">
        <v>100</v>
      </c>
      <c r="E9" s="17" t="s">
        <v>101</v>
      </c>
      <c r="F9" s="17" t="s">
        <v>102</v>
      </c>
      <c r="G9" s="17" t="s">
        <v>103</v>
      </c>
      <c r="H9" s="17">
        <v>147</v>
      </c>
      <c r="I9" s="18">
        <v>70.41</v>
      </c>
      <c r="J9" s="18">
        <v>71.62</v>
      </c>
      <c r="K9" s="17">
        <v>10528</v>
      </c>
      <c r="L9" s="17" t="s">
        <v>73</v>
      </c>
      <c r="N9" s="17"/>
    </row>
    <row r="10" spans="1:14" x14ac:dyDescent="0.3">
      <c r="A10" s="8" t="s">
        <v>194</v>
      </c>
      <c r="B10" s="17" t="s">
        <v>74</v>
      </c>
      <c r="C10" s="17" t="s">
        <v>162</v>
      </c>
      <c r="D10" s="17" t="s">
        <v>205</v>
      </c>
      <c r="E10" s="17" t="s">
        <v>218</v>
      </c>
      <c r="F10" s="17" t="s">
        <v>102</v>
      </c>
      <c r="G10" s="17" t="s">
        <v>103</v>
      </c>
      <c r="H10" s="17">
        <v>72</v>
      </c>
      <c r="I10" s="18">
        <v>79.2</v>
      </c>
      <c r="J10" s="18">
        <v>80.89</v>
      </c>
      <c r="K10" s="17">
        <v>5824</v>
      </c>
      <c r="L10" s="17" t="s">
        <v>73</v>
      </c>
      <c r="N10" s="17"/>
    </row>
    <row r="11" spans="1:14" x14ac:dyDescent="0.3">
      <c r="A11" s="8" t="s">
        <v>194</v>
      </c>
      <c r="B11" s="17" t="s">
        <v>74</v>
      </c>
      <c r="C11" s="17" t="s">
        <v>162</v>
      </c>
      <c r="D11" s="17" t="s">
        <v>207</v>
      </c>
      <c r="E11" s="17" t="s">
        <v>208</v>
      </c>
      <c r="F11" s="17" t="s">
        <v>102</v>
      </c>
      <c r="G11" s="17" t="s">
        <v>103</v>
      </c>
      <c r="H11" s="17">
        <v>34</v>
      </c>
      <c r="I11" s="18">
        <v>103.67</v>
      </c>
      <c r="J11" s="18">
        <v>105.41</v>
      </c>
      <c r="K11" s="17">
        <v>3584</v>
      </c>
      <c r="L11" s="17" t="s">
        <v>73</v>
      </c>
      <c r="N11" s="17"/>
    </row>
    <row r="12" spans="1:14" x14ac:dyDescent="0.3">
      <c r="A12" s="8" t="s">
        <v>194</v>
      </c>
      <c r="B12" s="17" t="s">
        <v>74</v>
      </c>
      <c r="C12" s="17" t="s">
        <v>162</v>
      </c>
      <c r="D12" s="17" t="s">
        <v>96</v>
      </c>
      <c r="E12" s="17" t="s">
        <v>97</v>
      </c>
      <c r="F12" s="17" t="s">
        <v>98</v>
      </c>
      <c r="G12" s="17" t="s">
        <v>99</v>
      </c>
      <c r="H12" s="17">
        <v>22</v>
      </c>
      <c r="I12" s="18">
        <v>221.5</v>
      </c>
      <c r="J12" s="18">
        <v>239.27</v>
      </c>
      <c r="K12" s="17">
        <v>5264</v>
      </c>
      <c r="L12" s="17" t="s">
        <v>73</v>
      </c>
      <c r="N12" s="17"/>
    </row>
    <row r="13" spans="1:14" x14ac:dyDescent="0.3">
      <c r="A13" s="8" t="s">
        <v>194</v>
      </c>
      <c r="B13" s="17" t="s">
        <v>74</v>
      </c>
      <c r="C13" s="17" t="s">
        <v>162</v>
      </c>
      <c r="D13" s="17" t="s">
        <v>209</v>
      </c>
      <c r="E13" s="17" t="s">
        <v>210</v>
      </c>
      <c r="F13" s="17" t="s">
        <v>219</v>
      </c>
      <c r="G13" s="17" t="s">
        <v>115</v>
      </c>
      <c r="H13" s="17">
        <v>290</v>
      </c>
      <c r="I13" s="18">
        <v>12.39</v>
      </c>
      <c r="J13" s="18">
        <v>11.84</v>
      </c>
      <c r="K13" s="17">
        <v>3433</v>
      </c>
      <c r="L13" s="17" t="s">
        <v>73</v>
      </c>
      <c r="N13" s="17"/>
    </row>
    <row r="14" spans="1:14" x14ac:dyDescent="0.3">
      <c r="A14" s="8" t="s">
        <v>194</v>
      </c>
      <c r="B14" s="17" t="s">
        <v>74</v>
      </c>
      <c r="C14" s="17" t="s">
        <v>223</v>
      </c>
      <c r="D14" s="17" t="s">
        <v>211</v>
      </c>
      <c r="E14" s="17" t="s">
        <v>220</v>
      </c>
      <c r="F14" s="17" t="s">
        <v>90</v>
      </c>
      <c r="G14" s="17" t="s">
        <v>91</v>
      </c>
      <c r="H14" s="19">
        <v>4.8000000000000001E-2</v>
      </c>
      <c r="I14" s="18">
        <v>79312.5</v>
      </c>
      <c r="J14" s="18">
        <v>85416.67</v>
      </c>
      <c r="K14" s="17">
        <v>4100</v>
      </c>
      <c r="L14" s="17" t="s">
        <v>73</v>
      </c>
      <c r="N14" s="17"/>
    </row>
    <row r="15" spans="1:14" x14ac:dyDescent="0.3">
      <c r="A15" s="8" t="s">
        <v>194</v>
      </c>
      <c r="B15" s="17" t="s">
        <v>74</v>
      </c>
      <c r="C15" s="17" t="s">
        <v>223</v>
      </c>
      <c r="D15" s="17" t="s">
        <v>212</v>
      </c>
      <c r="E15" s="17" t="s">
        <v>221</v>
      </c>
      <c r="F15" s="17" t="s">
        <v>90</v>
      </c>
      <c r="G15" s="17" t="s">
        <v>91</v>
      </c>
      <c r="H15" s="19">
        <v>0.72</v>
      </c>
      <c r="I15" s="18">
        <v>2668.89</v>
      </c>
      <c r="J15" s="18">
        <v>2916.67</v>
      </c>
      <c r="K15" s="17">
        <v>2100</v>
      </c>
      <c r="L15" s="17" t="s">
        <v>73</v>
      </c>
      <c r="N15" s="17"/>
    </row>
    <row r="16" spans="1:14" x14ac:dyDescent="0.3">
      <c r="A16" s="8" t="s">
        <v>194</v>
      </c>
      <c r="B16" s="17" t="s">
        <v>74</v>
      </c>
      <c r="C16" s="17" t="s">
        <v>162</v>
      </c>
      <c r="D16" s="17" t="s">
        <v>213</v>
      </c>
      <c r="E16" s="17" t="s">
        <v>214</v>
      </c>
      <c r="F16" s="17" t="s">
        <v>94</v>
      </c>
      <c r="G16" s="17" t="s">
        <v>95</v>
      </c>
      <c r="H16" s="17">
        <v>11000</v>
      </c>
      <c r="I16" s="18">
        <v>1</v>
      </c>
      <c r="J16" s="18">
        <v>1</v>
      </c>
      <c r="K16" s="17">
        <v>11000</v>
      </c>
      <c r="L16" s="17" t="s">
        <v>73</v>
      </c>
      <c r="N16" s="17"/>
    </row>
    <row r="17" spans="1:14" x14ac:dyDescent="0.3">
      <c r="A17" s="8" t="s">
        <v>194</v>
      </c>
      <c r="B17" s="17" t="s">
        <v>74</v>
      </c>
      <c r="C17" s="17" t="s">
        <v>161</v>
      </c>
      <c r="D17" s="17" t="s">
        <v>215</v>
      </c>
      <c r="E17" s="17" t="s">
        <v>216</v>
      </c>
      <c r="F17" s="17" t="s">
        <v>94</v>
      </c>
      <c r="G17" s="17" t="s">
        <v>95</v>
      </c>
      <c r="H17" s="17">
        <v>8500</v>
      </c>
      <c r="I17" s="18">
        <v>1</v>
      </c>
      <c r="J17" s="18">
        <v>1</v>
      </c>
      <c r="K17" s="17">
        <v>8500</v>
      </c>
      <c r="L17" s="17" t="s">
        <v>73</v>
      </c>
      <c r="N17" s="17"/>
    </row>
    <row r="18" spans="1:14" x14ac:dyDescent="0.3">
      <c r="N18" s="17"/>
    </row>
    <row r="27" spans="1:14" x14ac:dyDescent="0.3">
      <c r="I27" s="33"/>
    </row>
  </sheetData>
  <pageMargins left="0.75" right="0.75" top="1" bottom="1" header="0.5" footer="0.5"/>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P135"/>
  <sheetViews>
    <sheetView topLeftCell="A103" zoomScale="115" zoomScaleNormal="115" workbookViewId="0">
      <selection activeCell="L17" sqref="L17"/>
    </sheetView>
  </sheetViews>
  <sheetFormatPr defaultRowHeight="14.4" x14ac:dyDescent="0.3"/>
  <cols>
    <col min="1" max="1" width="21.6640625" bestFit="1" customWidth="1"/>
    <col min="2" max="2" width="10" customWidth="1"/>
    <col min="3" max="3" width="17.5546875" customWidth="1"/>
    <col min="4" max="4" width="13" customWidth="1"/>
    <col min="5" max="5" width="11" customWidth="1"/>
    <col min="6" max="6" width="14" customWidth="1"/>
    <col min="7" max="7" width="12" customWidth="1"/>
    <col min="8" max="8" width="9.88671875" customWidth="1"/>
    <col min="9" max="9" width="12" customWidth="1"/>
    <col min="10" max="10" width="25.33203125" bestFit="1" customWidth="1"/>
    <col min="12" max="12" width="36.33203125" bestFit="1" customWidth="1"/>
  </cols>
  <sheetData>
    <row r="1" spans="1:16" x14ac:dyDescent="0.3">
      <c r="A1" s="3" t="s">
        <v>63</v>
      </c>
      <c r="B1" s="3" t="s">
        <v>76</v>
      </c>
      <c r="C1" s="3" t="s">
        <v>132</v>
      </c>
      <c r="D1" s="3" t="s">
        <v>133</v>
      </c>
      <c r="E1" s="3" t="s">
        <v>80</v>
      </c>
      <c r="F1" s="3" t="s">
        <v>134</v>
      </c>
      <c r="G1" s="3" t="s">
        <v>135</v>
      </c>
      <c r="H1" s="3" t="s">
        <v>136</v>
      </c>
      <c r="I1" s="3" t="s">
        <v>66</v>
      </c>
      <c r="J1" s="3" t="s">
        <v>237</v>
      </c>
    </row>
    <row r="2" spans="1:16" x14ac:dyDescent="0.3">
      <c r="A2" s="8" t="s">
        <v>194</v>
      </c>
      <c r="B2" s="17" t="s">
        <v>100</v>
      </c>
      <c r="C2" s="17" t="s">
        <v>137</v>
      </c>
      <c r="D2" s="21">
        <v>46097</v>
      </c>
      <c r="E2" s="22">
        <v>5.6338028169014081</v>
      </c>
      <c r="F2" s="18">
        <v>71</v>
      </c>
      <c r="G2" s="27">
        <v>400</v>
      </c>
      <c r="H2" s="18">
        <v>12.5</v>
      </c>
      <c r="I2" s="17" t="s">
        <v>138</v>
      </c>
      <c r="J2" s="17" t="s">
        <v>197</v>
      </c>
    </row>
    <row r="3" spans="1:16" x14ac:dyDescent="0.3">
      <c r="A3" s="8" t="s">
        <v>194</v>
      </c>
      <c r="B3" s="17" t="s">
        <v>213</v>
      </c>
      <c r="C3" s="17" t="s">
        <v>233</v>
      </c>
      <c r="D3" s="21">
        <v>46096</v>
      </c>
      <c r="E3" s="17"/>
      <c r="F3" s="17"/>
      <c r="G3" s="18">
        <v>35.75</v>
      </c>
      <c r="H3" s="18">
        <v>0</v>
      </c>
      <c r="I3" s="17" t="s">
        <v>138</v>
      </c>
      <c r="J3" s="17" t="s">
        <v>234</v>
      </c>
    </row>
    <row r="4" spans="1:16" x14ac:dyDescent="0.3">
      <c r="A4" s="8" t="s">
        <v>194</v>
      </c>
      <c r="B4" s="17" t="s">
        <v>205</v>
      </c>
      <c r="C4" s="17" t="s">
        <v>233</v>
      </c>
      <c r="D4" s="21">
        <v>46085</v>
      </c>
      <c r="E4" s="17"/>
      <c r="F4" s="17"/>
      <c r="G4" s="18">
        <v>21.82</v>
      </c>
      <c r="H4" s="18">
        <v>0</v>
      </c>
      <c r="I4" s="17" t="s">
        <v>138</v>
      </c>
      <c r="J4" s="17" t="s">
        <v>197</v>
      </c>
    </row>
    <row r="5" spans="1:16" x14ac:dyDescent="0.3">
      <c r="A5" s="8" t="s">
        <v>194</v>
      </c>
      <c r="B5" s="17" t="s">
        <v>207</v>
      </c>
      <c r="C5" s="17" t="s">
        <v>233</v>
      </c>
      <c r="D5" s="21">
        <v>46085</v>
      </c>
      <c r="E5" s="17"/>
      <c r="F5" s="17"/>
      <c r="G5" s="18">
        <v>9.7899999999999991</v>
      </c>
      <c r="H5" s="18">
        <v>0</v>
      </c>
      <c r="I5" s="17" t="s">
        <v>138</v>
      </c>
      <c r="J5" s="17" t="s">
        <v>197</v>
      </c>
    </row>
    <row r="6" spans="1:16" x14ac:dyDescent="0.3">
      <c r="A6" s="8" t="s">
        <v>194</v>
      </c>
      <c r="B6" s="17" t="s">
        <v>100</v>
      </c>
      <c r="C6" s="17" t="s">
        <v>233</v>
      </c>
      <c r="D6" s="21">
        <v>46085</v>
      </c>
      <c r="E6" s="17"/>
      <c r="F6" s="17"/>
      <c r="G6" s="18">
        <v>33.520000000000003</v>
      </c>
      <c r="H6" s="18">
        <v>0</v>
      </c>
      <c r="I6" s="17" t="s">
        <v>138</v>
      </c>
      <c r="J6" s="17" t="s">
        <v>197</v>
      </c>
    </row>
    <row r="7" spans="1:16" x14ac:dyDescent="0.3">
      <c r="A7" s="8" t="s">
        <v>194</v>
      </c>
      <c r="B7" s="17" t="s">
        <v>213</v>
      </c>
      <c r="C7" s="17" t="s">
        <v>233</v>
      </c>
      <c r="D7" s="21">
        <v>46068</v>
      </c>
      <c r="E7" s="17"/>
      <c r="F7" s="17"/>
      <c r="G7" s="18">
        <v>35.75</v>
      </c>
      <c r="H7" s="18">
        <v>0</v>
      </c>
      <c r="I7" s="17" t="s">
        <v>138</v>
      </c>
      <c r="J7" s="17" t="s">
        <v>234</v>
      </c>
    </row>
    <row r="8" spans="1:16" x14ac:dyDescent="0.3">
      <c r="A8" s="8" t="s">
        <v>194</v>
      </c>
      <c r="B8" s="17" t="s">
        <v>104</v>
      </c>
      <c r="C8" s="17" t="s">
        <v>235</v>
      </c>
      <c r="D8" s="21">
        <v>46065</v>
      </c>
      <c r="E8" s="17"/>
      <c r="F8" s="17"/>
      <c r="G8" s="18">
        <v>22.62</v>
      </c>
      <c r="H8" s="18">
        <v>0</v>
      </c>
      <c r="I8" s="17" t="s">
        <v>138</v>
      </c>
      <c r="J8" s="17" t="s">
        <v>234</v>
      </c>
    </row>
    <row r="9" spans="1:16" x14ac:dyDescent="0.3">
      <c r="A9" s="8" t="s">
        <v>194</v>
      </c>
      <c r="B9" s="17" t="s">
        <v>110</v>
      </c>
      <c r="C9" s="17" t="s">
        <v>137</v>
      </c>
      <c r="D9" s="21">
        <v>46064</v>
      </c>
      <c r="E9" s="22">
        <v>30</v>
      </c>
      <c r="F9" s="18">
        <v>49.8</v>
      </c>
      <c r="G9" s="18">
        <v>1494</v>
      </c>
      <c r="H9" s="18">
        <v>12.5</v>
      </c>
      <c r="I9" s="17" t="s">
        <v>138</v>
      </c>
      <c r="J9" s="17" t="s">
        <v>234</v>
      </c>
      <c r="L9" s="30"/>
    </row>
    <row r="10" spans="1:16" x14ac:dyDescent="0.3">
      <c r="A10" s="8" t="s">
        <v>194</v>
      </c>
      <c r="B10" s="17" t="s">
        <v>100</v>
      </c>
      <c r="C10" s="17" t="s">
        <v>137</v>
      </c>
      <c r="D10" s="21">
        <v>46062</v>
      </c>
      <c r="E10" s="22">
        <v>5.6338028169014081</v>
      </c>
      <c r="F10" s="18">
        <v>71</v>
      </c>
      <c r="G10" s="27">
        <v>400</v>
      </c>
      <c r="H10" s="18">
        <v>12.5</v>
      </c>
      <c r="I10" s="17" t="s">
        <v>138</v>
      </c>
      <c r="J10" s="17" t="s">
        <v>234</v>
      </c>
      <c r="N10" s="29"/>
      <c r="O10" s="29"/>
      <c r="P10" s="29"/>
    </row>
    <row r="11" spans="1:16" x14ac:dyDescent="0.3">
      <c r="A11" s="8" t="s">
        <v>194</v>
      </c>
      <c r="B11" s="17" t="s">
        <v>100</v>
      </c>
      <c r="C11" s="17" t="s">
        <v>137</v>
      </c>
      <c r="D11" s="21">
        <v>46062</v>
      </c>
      <c r="E11" s="22">
        <v>5.6338028169014081</v>
      </c>
      <c r="F11" s="18">
        <v>71</v>
      </c>
      <c r="G11" s="27">
        <v>400</v>
      </c>
      <c r="H11" s="18">
        <v>12.5</v>
      </c>
      <c r="I11" s="17" t="s">
        <v>138</v>
      </c>
      <c r="J11" s="17" t="s">
        <v>197</v>
      </c>
      <c r="N11" s="29"/>
    </row>
    <row r="12" spans="1:16" x14ac:dyDescent="0.3">
      <c r="A12" s="8" t="s">
        <v>194</v>
      </c>
      <c r="B12" s="17" t="s">
        <v>100</v>
      </c>
      <c r="C12" s="17" t="s">
        <v>137</v>
      </c>
      <c r="D12" s="21">
        <v>46062</v>
      </c>
      <c r="E12" s="22">
        <v>10.098591549295774</v>
      </c>
      <c r="F12" s="18">
        <v>71</v>
      </c>
      <c r="G12" s="27">
        <v>717</v>
      </c>
      <c r="H12" s="18">
        <v>12.5</v>
      </c>
      <c r="I12" s="17" t="s">
        <v>138</v>
      </c>
      <c r="J12" s="17" t="s">
        <v>234</v>
      </c>
      <c r="N12" s="29"/>
    </row>
    <row r="13" spans="1:16" x14ac:dyDescent="0.3">
      <c r="A13" s="8" t="s">
        <v>194</v>
      </c>
      <c r="B13" s="17"/>
      <c r="C13" s="17" t="s">
        <v>217</v>
      </c>
      <c r="D13" s="21">
        <v>46058</v>
      </c>
      <c r="E13" s="25"/>
      <c r="F13" s="25"/>
      <c r="G13" s="27">
        <v>2800</v>
      </c>
      <c r="H13" s="18">
        <v>0</v>
      </c>
      <c r="I13" s="17" t="s">
        <v>138</v>
      </c>
      <c r="J13" s="17" t="s">
        <v>234</v>
      </c>
    </row>
    <row r="14" spans="1:16" x14ac:dyDescent="0.3">
      <c r="A14" s="8" t="s">
        <v>194</v>
      </c>
      <c r="B14" s="25"/>
      <c r="C14" s="17" t="s">
        <v>217</v>
      </c>
      <c r="D14" s="21">
        <v>46057</v>
      </c>
      <c r="E14" s="26"/>
      <c r="F14" s="27"/>
      <c r="G14" s="18">
        <v>8500</v>
      </c>
      <c r="H14" s="18">
        <v>0</v>
      </c>
      <c r="I14" s="17" t="s">
        <v>138</v>
      </c>
      <c r="J14" s="17" t="s">
        <v>234</v>
      </c>
    </row>
    <row r="15" spans="1:16" x14ac:dyDescent="0.3">
      <c r="A15" s="8" t="s">
        <v>194</v>
      </c>
      <c r="B15" s="17" t="s">
        <v>205</v>
      </c>
      <c r="C15" s="17" t="s">
        <v>233</v>
      </c>
      <c r="D15" s="21">
        <v>46057</v>
      </c>
      <c r="E15" s="17"/>
      <c r="F15" s="17"/>
      <c r="G15" s="18">
        <v>21.74</v>
      </c>
      <c r="H15" s="18">
        <v>0</v>
      </c>
      <c r="I15" s="17" t="s">
        <v>138</v>
      </c>
      <c r="J15" s="17" t="s">
        <v>197</v>
      </c>
    </row>
    <row r="16" spans="1:16" x14ac:dyDescent="0.3">
      <c r="A16" s="8" t="s">
        <v>194</v>
      </c>
      <c r="B16" s="25" t="s">
        <v>207</v>
      </c>
      <c r="C16" s="17" t="s">
        <v>233</v>
      </c>
      <c r="D16" s="21">
        <v>46057</v>
      </c>
      <c r="E16" s="25"/>
      <c r="F16" s="25"/>
      <c r="G16" s="18">
        <v>9.89</v>
      </c>
      <c r="H16" s="18">
        <v>0</v>
      </c>
      <c r="I16" s="17" t="s">
        <v>138</v>
      </c>
      <c r="J16" s="17" t="s">
        <v>197</v>
      </c>
    </row>
    <row r="17" spans="1:14" x14ac:dyDescent="0.3">
      <c r="A17" s="8" t="s">
        <v>194</v>
      </c>
      <c r="B17" s="17" t="s">
        <v>100</v>
      </c>
      <c r="C17" s="17" t="s">
        <v>233</v>
      </c>
      <c r="D17" s="21">
        <v>46057</v>
      </c>
      <c r="E17" s="17"/>
      <c r="F17" s="17"/>
      <c r="G17" s="18">
        <v>27.24</v>
      </c>
      <c r="H17" s="18">
        <v>0</v>
      </c>
      <c r="I17" s="17" t="s">
        <v>138</v>
      </c>
      <c r="J17" s="17" t="s">
        <v>197</v>
      </c>
    </row>
    <row r="18" spans="1:14" x14ac:dyDescent="0.3">
      <c r="A18" s="8" t="s">
        <v>194</v>
      </c>
      <c r="B18" s="17" t="s">
        <v>213</v>
      </c>
      <c r="C18" s="17" t="s">
        <v>139</v>
      </c>
      <c r="D18" s="21">
        <v>46056</v>
      </c>
      <c r="E18" s="26">
        <v>9500</v>
      </c>
      <c r="F18" s="27">
        <v>1</v>
      </c>
      <c r="G18" s="18">
        <v>9500</v>
      </c>
      <c r="H18" s="18">
        <v>0</v>
      </c>
      <c r="I18" s="17" t="s">
        <v>138</v>
      </c>
      <c r="J18" s="17" t="s">
        <v>234</v>
      </c>
    </row>
    <row r="19" spans="1:14" x14ac:dyDescent="0.3">
      <c r="A19" s="8" t="s">
        <v>194</v>
      </c>
      <c r="B19" s="17" t="s">
        <v>202</v>
      </c>
      <c r="C19" s="17" t="s">
        <v>235</v>
      </c>
      <c r="D19" s="21">
        <v>46055</v>
      </c>
      <c r="E19" s="17"/>
      <c r="F19" s="17"/>
      <c r="G19" s="18">
        <v>39.96</v>
      </c>
      <c r="H19" s="18">
        <v>0</v>
      </c>
      <c r="I19" s="17" t="s">
        <v>138</v>
      </c>
      <c r="J19" s="17" t="s">
        <v>234</v>
      </c>
    </row>
    <row r="20" spans="1:14" x14ac:dyDescent="0.3">
      <c r="A20" s="8" t="s">
        <v>194</v>
      </c>
      <c r="B20" s="17" t="s">
        <v>84</v>
      </c>
      <c r="C20" s="17" t="s">
        <v>137</v>
      </c>
      <c r="D20" s="21">
        <v>46049</v>
      </c>
      <c r="E20" s="22">
        <v>10</v>
      </c>
      <c r="F20" s="18">
        <v>281</v>
      </c>
      <c r="G20" s="18">
        <v>2810</v>
      </c>
      <c r="H20" s="18">
        <v>12.5</v>
      </c>
      <c r="I20" s="17" t="s">
        <v>138</v>
      </c>
      <c r="J20" s="17" t="s">
        <v>234</v>
      </c>
      <c r="N20" s="29"/>
    </row>
    <row r="21" spans="1:14" x14ac:dyDescent="0.3">
      <c r="A21" s="8" t="s">
        <v>194</v>
      </c>
      <c r="B21" s="17" t="s">
        <v>209</v>
      </c>
      <c r="C21" s="17" t="s">
        <v>139</v>
      </c>
      <c r="D21" s="21">
        <v>46039</v>
      </c>
      <c r="E21" s="26">
        <v>20</v>
      </c>
      <c r="F21" s="27">
        <v>11.8</v>
      </c>
      <c r="G21" s="18">
        <v>236</v>
      </c>
      <c r="H21" s="18">
        <v>12.5</v>
      </c>
      <c r="I21" s="17" t="s">
        <v>138</v>
      </c>
      <c r="J21" s="17" t="s">
        <v>234</v>
      </c>
    </row>
    <row r="22" spans="1:14" x14ac:dyDescent="0.3">
      <c r="A22" s="8" t="s">
        <v>194</v>
      </c>
      <c r="B22" s="17" t="s">
        <v>122</v>
      </c>
      <c r="C22" s="17" t="s">
        <v>139</v>
      </c>
      <c r="D22" s="21">
        <v>46037</v>
      </c>
      <c r="E22" s="22">
        <v>15</v>
      </c>
      <c r="F22" s="18">
        <v>503</v>
      </c>
      <c r="G22" s="18">
        <v>7545</v>
      </c>
      <c r="H22" s="18">
        <v>12.5</v>
      </c>
      <c r="I22" s="17" t="s">
        <v>138</v>
      </c>
      <c r="J22" s="17" t="s">
        <v>234</v>
      </c>
    </row>
    <row r="23" spans="1:14" x14ac:dyDescent="0.3">
      <c r="A23" s="8" t="s">
        <v>194</v>
      </c>
      <c r="B23" s="17" t="s">
        <v>213</v>
      </c>
      <c r="C23" s="17" t="s">
        <v>233</v>
      </c>
      <c r="D23" s="21">
        <v>46037</v>
      </c>
      <c r="E23" s="25"/>
      <c r="F23" s="25"/>
      <c r="G23" s="18">
        <v>66.62</v>
      </c>
      <c r="H23" s="18">
        <v>0</v>
      </c>
      <c r="I23" s="17" t="s">
        <v>138</v>
      </c>
      <c r="J23" s="17" t="s">
        <v>234</v>
      </c>
    </row>
    <row r="24" spans="1:14" x14ac:dyDescent="0.3">
      <c r="A24" s="8" t="s">
        <v>194</v>
      </c>
      <c r="B24" s="17" t="s">
        <v>205</v>
      </c>
      <c r="C24" s="17" t="s">
        <v>233</v>
      </c>
      <c r="D24" s="21">
        <v>46028</v>
      </c>
      <c r="E24" s="25"/>
      <c r="F24" s="25"/>
      <c r="G24" s="18">
        <v>21.96</v>
      </c>
      <c r="H24" s="18">
        <v>0</v>
      </c>
      <c r="I24" s="17" t="s">
        <v>138</v>
      </c>
      <c r="J24" s="17" t="s">
        <v>197</v>
      </c>
    </row>
    <row r="25" spans="1:14" x14ac:dyDescent="0.3">
      <c r="A25" s="8" t="s">
        <v>194</v>
      </c>
      <c r="B25" s="17" t="s">
        <v>207</v>
      </c>
      <c r="C25" s="17" t="s">
        <v>233</v>
      </c>
      <c r="D25" s="21">
        <v>46028</v>
      </c>
      <c r="E25" s="17"/>
      <c r="F25" s="17"/>
      <c r="G25" s="18">
        <v>10.06</v>
      </c>
      <c r="H25" s="18">
        <v>0</v>
      </c>
      <c r="I25" s="17" t="s">
        <v>138</v>
      </c>
      <c r="J25" s="17" t="s">
        <v>197</v>
      </c>
    </row>
    <row r="26" spans="1:14" x14ac:dyDescent="0.3">
      <c r="A26" s="8" t="s">
        <v>194</v>
      </c>
      <c r="B26" s="17" t="s">
        <v>100</v>
      </c>
      <c r="C26" s="17" t="s">
        <v>233</v>
      </c>
      <c r="D26" s="21">
        <v>46028</v>
      </c>
      <c r="E26" s="17"/>
      <c r="F26" s="17"/>
      <c r="G26" s="18">
        <v>27.72</v>
      </c>
      <c r="H26" s="18">
        <v>0</v>
      </c>
      <c r="I26" s="17" t="s">
        <v>138</v>
      </c>
      <c r="J26" s="17" t="s">
        <v>197</v>
      </c>
    </row>
    <row r="27" spans="1:14" x14ac:dyDescent="0.3">
      <c r="A27" s="8" t="s">
        <v>194</v>
      </c>
      <c r="B27" s="17" t="s">
        <v>200</v>
      </c>
      <c r="C27" s="17" t="s">
        <v>235</v>
      </c>
      <c r="D27" s="21">
        <v>46028</v>
      </c>
      <c r="E27" s="17"/>
      <c r="F27" s="17"/>
      <c r="G27" s="18">
        <v>55.1</v>
      </c>
      <c r="H27" s="18">
        <v>0</v>
      </c>
      <c r="I27" s="17" t="s">
        <v>138</v>
      </c>
      <c r="J27" s="17" t="s">
        <v>234</v>
      </c>
    </row>
    <row r="28" spans="1:14" x14ac:dyDescent="0.3">
      <c r="A28" s="8" t="s">
        <v>194</v>
      </c>
      <c r="B28" s="17"/>
      <c r="C28" s="17" t="s">
        <v>217</v>
      </c>
      <c r="D28" s="21">
        <v>46027</v>
      </c>
      <c r="E28" s="17"/>
      <c r="F28" s="17"/>
      <c r="G28" s="27">
        <v>400</v>
      </c>
      <c r="H28" s="18">
        <v>0</v>
      </c>
      <c r="I28" s="17" t="s">
        <v>138</v>
      </c>
      <c r="J28" s="17" t="s">
        <v>197</v>
      </c>
    </row>
    <row r="29" spans="1:14" x14ac:dyDescent="0.3">
      <c r="A29" s="8" t="s">
        <v>194</v>
      </c>
      <c r="B29" s="17"/>
      <c r="C29" s="17" t="s">
        <v>217</v>
      </c>
      <c r="D29" s="21">
        <v>46027</v>
      </c>
      <c r="E29" s="17"/>
      <c r="F29" s="17"/>
      <c r="G29" s="27">
        <v>2400</v>
      </c>
      <c r="H29" s="18">
        <v>0</v>
      </c>
      <c r="I29" s="17" t="s">
        <v>138</v>
      </c>
      <c r="J29" s="17" t="s">
        <v>234</v>
      </c>
    </row>
    <row r="30" spans="1:14" x14ac:dyDescent="0.3">
      <c r="A30" s="8" t="s">
        <v>194</v>
      </c>
      <c r="B30" s="17"/>
      <c r="C30" s="17" t="s">
        <v>239</v>
      </c>
      <c r="D30" s="21">
        <v>46024</v>
      </c>
      <c r="E30" s="17"/>
      <c r="F30" s="17"/>
      <c r="G30" s="27">
        <v>3200</v>
      </c>
      <c r="H30" s="18">
        <v>0</v>
      </c>
      <c r="I30" s="17" t="s">
        <v>138</v>
      </c>
      <c r="J30" s="17" t="s">
        <v>234</v>
      </c>
    </row>
    <row r="31" spans="1:14" x14ac:dyDescent="0.3">
      <c r="A31" s="8" t="s">
        <v>194</v>
      </c>
      <c r="B31" s="17" t="s">
        <v>213</v>
      </c>
      <c r="C31" s="17" t="s">
        <v>233</v>
      </c>
      <c r="D31" s="21">
        <v>46006</v>
      </c>
      <c r="E31" s="17"/>
      <c r="F31" s="17"/>
      <c r="G31" s="18">
        <v>66.62</v>
      </c>
      <c r="H31" s="18">
        <v>0</v>
      </c>
      <c r="I31" s="17" t="s">
        <v>138</v>
      </c>
      <c r="J31" s="17" t="s">
        <v>234</v>
      </c>
    </row>
    <row r="32" spans="1:14" x14ac:dyDescent="0.3">
      <c r="A32" s="8" t="s">
        <v>194</v>
      </c>
      <c r="B32" s="17" t="s">
        <v>122</v>
      </c>
      <c r="C32" s="17" t="s">
        <v>137</v>
      </c>
      <c r="D32" s="21">
        <v>46002</v>
      </c>
      <c r="E32" s="26">
        <v>12</v>
      </c>
      <c r="F32" s="27">
        <v>502</v>
      </c>
      <c r="G32" s="18">
        <v>6024</v>
      </c>
      <c r="H32" s="18">
        <v>12.5</v>
      </c>
      <c r="I32" s="17" t="s">
        <v>138</v>
      </c>
      <c r="J32" s="17" t="s">
        <v>234</v>
      </c>
    </row>
    <row r="33" spans="1:10" x14ac:dyDescent="0.3">
      <c r="A33" s="8" t="s">
        <v>194</v>
      </c>
      <c r="B33" s="17"/>
      <c r="C33" s="17" t="s">
        <v>217</v>
      </c>
      <c r="D33" s="21">
        <v>45996</v>
      </c>
      <c r="E33" s="17"/>
      <c r="F33" s="17"/>
      <c r="G33" s="27">
        <v>400</v>
      </c>
      <c r="H33" s="18">
        <v>0</v>
      </c>
      <c r="I33" s="17" t="s">
        <v>138</v>
      </c>
      <c r="J33" s="17" t="s">
        <v>197</v>
      </c>
    </row>
    <row r="34" spans="1:10" x14ac:dyDescent="0.3">
      <c r="A34" s="8" t="s">
        <v>194</v>
      </c>
      <c r="B34" s="17"/>
      <c r="C34" s="17" t="s">
        <v>217</v>
      </c>
      <c r="D34" s="21">
        <v>45996</v>
      </c>
      <c r="E34" s="17"/>
      <c r="F34" s="17"/>
      <c r="G34" s="27">
        <v>2400</v>
      </c>
      <c r="H34" s="18">
        <v>0</v>
      </c>
      <c r="I34" s="17" t="s">
        <v>138</v>
      </c>
      <c r="J34" s="17" t="s">
        <v>234</v>
      </c>
    </row>
    <row r="35" spans="1:10" x14ac:dyDescent="0.3">
      <c r="A35" s="8" t="s">
        <v>194</v>
      </c>
      <c r="B35" s="17" t="s">
        <v>205</v>
      </c>
      <c r="C35" s="17" t="s">
        <v>233</v>
      </c>
      <c r="D35" s="21">
        <v>45995</v>
      </c>
      <c r="E35" s="17"/>
      <c r="F35" s="17"/>
      <c r="G35" s="18">
        <v>22.03</v>
      </c>
      <c r="H35" s="18">
        <v>0</v>
      </c>
      <c r="I35" s="17" t="s">
        <v>138</v>
      </c>
      <c r="J35" s="17" t="s">
        <v>197</v>
      </c>
    </row>
    <row r="36" spans="1:10" x14ac:dyDescent="0.3">
      <c r="A36" s="8" t="s">
        <v>194</v>
      </c>
      <c r="B36" s="17" t="s">
        <v>207</v>
      </c>
      <c r="C36" s="17" t="s">
        <v>233</v>
      </c>
      <c r="D36" s="21">
        <v>45995</v>
      </c>
      <c r="E36" s="25"/>
      <c r="F36" s="25"/>
      <c r="G36" s="18">
        <v>10.17</v>
      </c>
      <c r="H36" s="18">
        <v>0</v>
      </c>
      <c r="I36" s="17" t="s">
        <v>138</v>
      </c>
      <c r="J36" s="17" t="s">
        <v>197</v>
      </c>
    </row>
    <row r="37" spans="1:10" x14ac:dyDescent="0.3">
      <c r="A37" s="8" t="s">
        <v>194</v>
      </c>
      <c r="B37" s="17" t="s">
        <v>100</v>
      </c>
      <c r="C37" s="17" t="s">
        <v>233</v>
      </c>
      <c r="D37" s="21">
        <v>45995</v>
      </c>
      <c r="E37" s="25"/>
      <c r="F37" s="25"/>
      <c r="G37" s="27">
        <v>27.36</v>
      </c>
      <c r="H37" s="18">
        <v>0</v>
      </c>
      <c r="I37" s="17" t="s">
        <v>138</v>
      </c>
      <c r="J37" s="17" t="s">
        <v>197</v>
      </c>
    </row>
    <row r="38" spans="1:10" x14ac:dyDescent="0.3">
      <c r="A38" s="8" t="s">
        <v>194</v>
      </c>
      <c r="B38" s="17" t="s">
        <v>200</v>
      </c>
      <c r="C38" s="17" t="s">
        <v>137</v>
      </c>
      <c r="D38" s="21">
        <v>45981</v>
      </c>
      <c r="E38" s="26">
        <v>8</v>
      </c>
      <c r="F38" s="27">
        <v>71.5</v>
      </c>
      <c r="G38" s="18">
        <v>572</v>
      </c>
      <c r="H38" s="18">
        <v>12.5</v>
      </c>
      <c r="I38" s="17" t="s">
        <v>138</v>
      </c>
      <c r="J38" s="17" t="s">
        <v>234</v>
      </c>
    </row>
    <row r="39" spans="1:10" x14ac:dyDescent="0.3">
      <c r="A39" s="8" t="s">
        <v>194</v>
      </c>
      <c r="B39" s="17" t="s">
        <v>209</v>
      </c>
      <c r="C39" s="17" t="s">
        <v>137</v>
      </c>
      <c r="D39" s="21">
        <v>45979</v>
      </c>
      <c r="E39" s="26">
        <v>50</v>
      </c>
      <c r="F39" s="27">
        <v>11.7</v>
      </c>
      <c r="G39" s="18">
        <v>585</v>
      </c>
      <c r="H39" s="18">
        <v>12.5</v>
      </c>
      <c r="I39" s="17" t="s">
        <v>138</v>
      </c>
      <c r="J39" s="17" t="s">
        <v>234</v>
      </c>
    </row>
    <row r="40" spans="1:10" x14ac:dyDescent="0.3">
      <c r="A40" s="8" t="s">
        <v>194</v>
      </c>
      <c r="B40" s="17" t="s">
        <v>213</v>
      </c>
      <c r="C40" s="17" t="s">
        <v>233</v>
      </c>
      <c r="D40" s="21">
        <v>45976</v>
      </c>
      <c r="E40" s="17"/>
      <c r="F40" s="17"/>
      <c r="G40" s="18">
        <v>66.62</v>
      </c>
      <c r="H40" s="18">
        <v>0</v>
      </c>
      <c r="I40" s="17" t="s">
        <v>138</v>
      </c>
      <c r="J40" s="17" t="s">
        <v>234</v>
      </c>
    </row>
    <row r="41" spans="1:10" x14ac:dyDescent="0.3">
      <c r="A41" s="8" t="s">
        <v>194</v>
      </c>
      <c r="B41" s="17" t="s">
        <v>104</v>
      </c>
      <c r="C41" s="17" t="s">
        <v>235</v>
      </c>
      <c r="D41" s="21">
        <v>45974</v>
      </c>
      <c r="E41" s="17"/>
      <c r="F41" s="17"/>
      <c r="G41" s="18">
        <v>22.62</v>
      </c>
      <c r="H41" s="18">
        <v>0</v>
      </c>
      <c r="I41" s="17" t="s">
        <v>138</v>
      </c>
      <c r="J41" s="17" t="s">
        <v>234</v>
      </c>
    </row>
    <row r="42" spans="1:10" x14ac:dyDescent="0.3">
      <c r="A42" s="8" t="s">
        <v>194</v>
      </c>
      <c r="B42" s="17" t="s">
        <v>205</v>
      </c>
      <c r="C42" s="17" t="s">
        <v>233</v>
      </c>
      <c r="D42" s="21">
        <v>45966</v>
      </c>
      <c r="E42" s="25"/>
      <c r="F42" s="25"/>
      <c r="G42" s="18">
        <v>21.96</v>
      </c>
      <c r="H42" s="18">
        <v>0</v>
      </c>
      <c r="I42" s="17" t="s">
        <v>138</v>
      </c>
      <c r="J42" s="17" t="s">
        <v>197</v>
      </c>
    </row>
    <row r="43" spans="1:10" x14ac:dyDescent="0.3">
      <c r="A43" s="8" t="s">
        <v>194</v>
      </c>
      <c r="B43" s="17" t="s">
        <v>207</v>
      </c>
      <c r="C43" s="17" t="s">
        <v>233</v>
      </c>
      <c r="D43" s="21">
        <v>45966</v>
      </c>
      <c r="E43" s="25"/>
      <c r="F43" s="25"/>
      <c r="G43" s="18">
        <v>10.34</v>
      </c>
      <c r="H43" s="18">
        <v>0</v>
      </c>
      <c r="I43" s="17" t="s">
        <v>138</v>
      </c>
      <c r="J43" s="17" t="s">
        <v>197</v>
      </c>
    </row>
    <row r="44" spans="1:10" x14ac:dyDescent="0.3">
      <c r="A44" s="8" t="s">
        <v>194</v>
      </c>
      <c r="B44" s="17" t="s">
        <v>100</v>
      </c>
      <c r="C44" s="17" t="s">
        <v>233</v>
      </c>
      <c r="D44" s="21">
        <v>45966</v>
      </c>
      <c r="E44" s="17"/>
      <c r="F44" s="17"/>
      <c r="G44" s="18">
        <v>27.48</v>
      </c>
      <c r="H44" s="18">
        <v>0</v>
      </c>
      <c r="I44" s="17" t="s">
        <v>138</v>
      </c>
      <c r="J44" s="17" t="s">
        <v>197</v>
      </c>
    </row>
    <row r="45" spans="1:10" x14ac:dyDescent="0.3">
      <c r="A45" s="8" t="s">
        <v>194</v>
      </c>
      <c r="B45" s="17"/>
      <c r="C45" s="17" t="s">
        <v>217</v>
      </c>
      <c r="D45" s="21">
        <v>45966</v>
      </c>
      <c r="E45" s="17"/>
      <c r="F45" s="17"/>
      <c r="G45" s="27">
        <v>400</v>
      </c>
      <c r="H45" s="18">
        <v>0</v>
      </c>
      <c r="I45" s="17" t="s">
        <v>138</v>
      </c>
      <c r="J45" s="17" t="s">
        <v>197</v>
      </c>
    </row>
    <row r="46" spans="1:10" x14ac:dyDescent="0.3">
      <c r="A46" s="8" t="s">
        <v>194</v>
      </c>
      <c r="B46" s="17"/>
      <c r="C46" s="17" t="s">
        <v>217</v>
      </c>
      <c r="D46" s="21">
        <v>45966</v>
      </c>
      <c r="E46" s="17"/>
      <c r="F46" s="17"/>
      <c r="G46" s="27">
        <v>2400</v>
      </c>
      <c r="H46" s="18">
        <v>0</v>
      </c>
      <c r="I46" s="17" t="s">
        <v>138</v>
      </c>
      <c r="J46" s="17" t="s">
        <v>234</v>
      </c>
    </row>
    <row r="47" spans="1:10" x14ac:dyDescent="0.3">
      <c r="A47" s="8" t="s">
        <v>194</v>
      </c>
      <c r="B47" s="17" t="s">
        <v>202</v>
      </c>
      <c r="C47" s="17" t="s">
        <v>235</v>
      </c>
      <c r="D47" s="21">
        <v>45964</v>
      </c>
      <c r="E47" s="17"/>
      <c r="F47" s="17"/>
      <c r="G47" s="18">
        <v>39.96</v>
      </c>
      <c r="H47" s="18">
        <v>0</v>
      </c>
      <c r="I47" s="17" t="s">
        <v>138</v>
      </c>
      <c r="J47" s="17" t="s">
        <v>234</v>
      </c>
    </row>
    <row r="48" spans="1:10" x14ac:dyDescent="0.3">
      <c r="A48" s="8" t="s">
        <v>194</v>
      </c>
      <c r="B48" s="17" t="s">
        <v>205</v>
      </c>
      <c r="C48" s="17" t="s">
        <v>137</v>
      </c>
      <c r="D48" s="21">
        <v>45958</v>
      </c>
      <c r="E48" s="26">
        <v>4.9751243781094523</v>
      </c>
      <c r="F48" s="27">
        <v>80.400000000000006</v>
      </c>
      <c r="G48" s="27">
        <v>400</v>
      </c>
      <c r="H48" s="18">
        <v>12.5</v>
      </c>
      <c r="I48" s="17" t="s">
        <v>138</v>
      </c>
      <c r="J48" s="17" t="s">
        <v>197</v>
      </c>
    </row>
    <row r="49" spans="1:10" x14ac:dyDescent="0.3">
      <c r="A49" s="8" t="s">
        <v>194</v>
      </c>
      <c r="B49" s="17" t="s">
        <v>205</v>
      </c>
      <c r="C49" s="17" t="s">
        <v>137</v>
      </c>
      <c r="D49" s="21">
        <v>45958</v>
      </c>
      <c r="E49" s="26">
        <v>7.0248756218905459</v>
      </c>
      <c r="F49" s="27">
        <v>80.400000000000006</v>
      </c>
      <c r="G49" s="27">
        <v>564.79999999999995</v>
      </c>
      <c r="H49" s="18">
        <v>12.5</v>
      </c>
      <c r="I49" s="17" t="s">
        <v>138</v>
      </c>
      <c r="J49" s="17" t="s">
        <v>234</v>
      </c>
    </row>
    <row r="50" spans="1:10" x14ac:dyDescent="0.3">
      <c r="A50" s="8" t="s">
        <v>194</v>
      </c>
      <c r="B50" s="17" t="s">
        <v>213</v>
      </c>
      <c r="C50" s="17" t="s">
        <v>233</v>
      </c>
      <c r="D50" s="21">
        <v>45945</v>
      </c>
      <c r="E50" s="17"/>
      <c r="F50" s="17"/>
      <c r="G50" s="18">
        <v>66.62</v>
      </c>
      <c r="H50" s="18">
        <v>0</v>
      </c>
      <c r="I50" s="17" t="s">
        <v>138</v>
      </c>
      <c r="J50" s="17" t="s">
        <v>234</v>
      </c>
    </row>
    <row r="51" spans="1:10" x14ac:dyDescent="0.3">
      <c r="A51" s="8" t="s">
        <v>194</v>
      </c>
      <c r="B51" s="17" t="s">
        <v>200</v>
      </c>
      <c r="C51" s="17" t="s">
        <v>235</v>
      </c>
      <c r="D51" s="21">
        <v>45939</v>
      </c>
      <c r="E51" s="17"/>
      <c r="F51" s="17"/>
      <c r="G51" s="18">
        <v>47.5</v>
      </c>
      <c r="H51" s="18">
        <v>0</v>
      </c>
      <c r="I51" s="17" t="s">
        <v>138</v>
      </c>
      <c r="J51" s="17" t="s">
        <v>234</v>
      </c>
    </row>
    <row r="52" spans="1:10" x14ac:dyDescent="0.3">
      <c r="A52" s="8" t="s">
        <v>194</v>
      </c>
      <c r="B52" s="17" t="s">
        <v>213</v>
      </c>
      <c r="C52" s="17" t="s">
        <v>137</v>
      </c>
      <c r="D52" s="21">
        <v>45936</v>
      </c>
      <c r="E52" s="26">
        <v>20500</v>
      </c>
      <c r="F52" s="27">
        <v>1</v>
      </c>
      <c r="G52" s="18">
        <v>20500</v>
      </c>
      <c r="H52" s="18">
        <v>0</v>
      </c>
      <c r="I52" s="17" t="s">
        <v>138</v>
      </c>
      <c r="J52" s="17" t="s">
        <v>234</v>
      </c>
    </row>
    <row r="53" spans="1:10" x14ac:dyDescent="0.3">
      <c r="A53" s="8" t="s">
        <v>194</v>
      </c>
      <c r="B53" s="17" t="s">
        <v>213</v>
      </c>
      <c r="C53" s="17" t="s">
        <v>139</v>
      </c>
      <c r="D53" s="21">
        <v>45936</v>
      </c>
      <c r="E53" s="26">
        <v>20500</v>
      </c>
      <c r="F53" s="27">
        <v>1</v>
      </c>
      <c r="G53" s="18">
        <v>20500</v>
      </c>
      <c r="H53" s="18">
        <v>0</v>
      </c>
      <c r="I53" s="17" t="s">
        <v>138</v>
      </c>
      <c r="J53" s="17" t="s">
        <v>234</v>
      </c>
    </row>
    <row r="54" spans="1:10" x14ac:dyDescent="0.3">
      <c r="A54" s="8" t="s">
        <v>194</v>
      </c>
      <c r="B54" s="17"/>
      <c r="C54" s="17" t="s">
        <v>217</v>
      </c>
      <c r="D54" s="21">
        <v>45935</v>
      </c>
      <c r="E54" s="25"/>
      <c r="F54" s="25"/>
      <c r="G54" s="27">
        <v>2800</v>
      </c>
      <c r="H54" s="18">
        <v>0</v>
      </c>
      <c r="I54" s="17" t="s">
        <v>138</v>
      </c>
      <c r="J54" s="17" t="s">
        <v>234</v>
      </c>
    </row>
    <row r="55" spans="1:10" x14ac:dyDescent="0.3">
      <c r="A55" s="8" t="s">
        <v>194</v>
      </c>
      <c r="B55" s="17" t="s">
        <v>205</v>
      </c>
      <c r="C55" s="17" t="s">
        <v>233</v>
      </c>
      <c r="D55" s="21">
        <v>45933</v>
      </c>
      <c r="E55" s="25"/>
      <c r="F55" s="25"/>
      <c r="G55" s="18">
        <v>18.72</v>
      </c>
      <c r="H55" s="18">
        <v>0</v>
      </c>
      <c r="I55" s="17" t="s">
        <v>138</v>
      </c>
      <c r="J55" s="17" t="s">
        <v>197</v>
      </c>
    </row>
    <row r="56" spans="1:10" x14ac:dyDescent="0.3">
      <c r="A56" s="8" t="s">
        <v>194</v>
      </c>
      <c r="B56" s="17" t="s">
        <v>207</v>
      </c>
      <c r="C56" s="17" t="s">
        <v>233</v>
      </c>
      <c r="D56" s="21">
        <v>45933</v>
      </c>
      <c r="E56" s="17"/>
      <c r="F56" s="17"/>
      <c r="G56" s="18">
        <v>10.51</v>
      </c>
      <c r="H56" s="18">
        <v>0</v>
      </c>
      <c r="I56" s="17" t="s">
        <v>138</v>
      </c>
      <c r="J56" s="17" t="s">
        <v>197</v>
      </c>
    </row>
    <row r="57" spans="1:10" x14ac:dyDescent="0.3">
      <c r="A57" s="8" t="s">
        <v>194</v>
      </c>
      <c r="B57" s="17" t="s">
        <v>100</v>
      </c>
      <c r="C57" s="17" t="s">
        <v>233</v>
      </c>
      <c r="D57" s="21">
        <v>45933</v>
      </c>
      <c r="E57" s="17"/>
      <c r="F57" s="17"/>
      <c r="G57" s="18">
        <v>27.72</v>
      </c>
      <c r="H57" s="18">
        <v>0</v>
      </c>
      <c r="I57" s="17" t="s">
        <v>138</v>
      </c>
      <c r="J57" s="17" t="s">
        <v>197</v>
      </c>
    </row>
    <row r="58" spans="1:10" x14ac:dyDescent="0.3">
      <c r="A58" s="8" t="s">
        <v>194</v>
      </c>
      <c r="B58" s="17" t="s">
        <v>96</v>
      </c>
      <c r="C58" s="17" t="s">
        <v>137</v>
      </c>
      <c r="D58" s="21">
        <v>45932</v>
      </c>
      <c r="E58" s="22">
        <v>8</v>
      </c>
      <c r="F58" s="18">
        <v>221.5</v>
      </c>
      <c r="G58" s="18">
        <v>1772</v>
      </c>
      <c r="H58" s="18">
        <v>12.5</v>
      </c>
      <c r="I58" s="17" t="s">
        <v>138</v>
      </c>
      <c r="J58" s="17" t="s">
        <v>234</v>
      </c>
    </row>
    <row r="59" spans="1:10" x14ac:dyDescent="0.3">
      <c r="A59" s="8" t="s">
        <v>194</v>
      </c>
      <c r="B59" s="17" t="s">
        <v>207</v>
      </c>
      <c r="C59" s="17" t="s">
        <v>137</v>
      </c>
      <c r="D59" s="21">
        <v>45929</v>
      </c>
      <c r="E59" s="22">
        <v>10</v>
      </c>
      <c r="F59" s="18">
        <v>103.8</v>
      </c>
      <c r="G59" s="27">
        <v>1038</v>
      </c>
      <c r="H59" s="18">
        <v>12.5</v>
      </c>
      <c r="I59" s="17" t="s">
        <v>138</v>
      </c>
      <c r="J59" s="17" t="s">
        <v>234</v>
      </c>
    </row>
    <row r="60" spans="1:10" x14ac:dyDescent="0.3">
      <c r="A60" s="8" t="s">
        <v>194</v>
      </c>
      <c r="B60" s="17" t="s">
        <v>100</v>
      </c>
      <c r="C60" s="17" t="s">
        <v>137</v>
      </c>
      <c r="D60" s="21">
        <v>45926</v>
      </c>
      <c r="E60" s="26">
        <v>5.6100981767180924</v>
      </c>
      <c r="F60" s="27">
        <v>71.3</v>
      </c>
      <c r="G60" s="27">
        <v>400</v>
      </c>
      <c r="H60" s="18">
        <v>12.5</v>
      </c>
      <c r="I60" s="17" t="s">
        <v>138</v>
      </c>
      <c r="J60" s="17" t="s">
        <v>197</v>
      </c>
    </row>
    <row r="61" spans="1:10" x14ac:dyDescent="0.3">
      <c r="A61" s="8" t="s">
        <v>194</v>
      </c>
      <c r="B61" s="17" t="s">
        <v>100</v>
      </c>
      <c r="C61" s="17" t="s">
        <v>137</v>
      </c>
      <c r="D61" s="21">
        <v>45926</v>
      </c>
      <c r="E61" s="26">
        <v>14.389901823281908</v>
      </c>
      <c r="F61" s="27">
        <v>71.3</v>
      </c>
      <c r="G61" s="27">
        <v>1026</v>
      </c>
      <c r="H61" s="18">
        <v>12.5</v>
      </c>
      <c r="I61" s="17" t="s">
        <v>138</v>
      </c>
      <c r="J61" s="17" t="s">
        <v>234</v>
      </c>
    </row>
    <row r="62" spans="1:10" x14ac:dyDescent="0.3">
      <c r="A62" s="8" t="s">
        <v>194</v>
      </c>
      <c r="B62" s="17" t="s">
        <v>202</v>
      </c>
      <c r="C62" s="17" t="s">
        <v>137</v>
      </c>
      <c r="D62" s="21">
        <v>45925</v>
      </c>
      <c r="E62" s="26">
        <v>44</v>
      </c>
      <c r="F62" s="27">
        <v>27.1</v>
      </c>
      <c r="G62" s="18">
        <v>1192.4000000000001</v>
      </c>
      <c r="H62" s="18">
        <v>12.5</v>
      </c>
      <c r="I62" s="17" t="s">
        <v>138</v>
      </c>
      <c r="J62" s="17" t="s">
        <v>234</v>
      </c>
    </row>
    <row r="63" spans="1:10" x14ac:dyDescent="0.3">
      <c r="A63" s="8" t="s">
        <v>194</v>
      </c>
      <c r="B63" s="17" t="s">
        <v>84</v>
      </c>
      <c r="C63" s="17" t="s">
        <v>137</v>
      </c>
      <c r="D63" s="21">
        <v>45923</v>
      </c>
      <c r="E63" s="26">
        <v>12</v>
      </c>
      <c r="F63" s="27">
        <v>273</v>
      </c>
      <c r="G63" s="18">
        <v>3276</v>
      </c>
      <c r="H63" s="18">
        <v>12.5</v>
      </c>
      <c r="I63" s="17" t="s">
        <v>138</v>
      </c>
      <c r="J63" s="17" t="s">
        <v>234</v>
      </c>
    </row>
    <row r="64" spans="1:10" x14ac:dyDescent="0.3">
      <c r="A64" s="8" t="s">
        <v>194</v>
      </c>
      <c r="B64" s="17" t="s">
        <v>122</v>
      </c>
      <c r="C64" s="17" t="s">
        <v>137</v>
      </c>
      <c r="D64" s="21">
        <v>45918</v>
      </c>
      <c r="E64" s="26">
        <v>8</v>
      </c>
      <c r="F64" s="27">
        <v>448</v>
      </c>
      <c r="G64" s="18">
        <v>3584</v>
      </c>
      <c r="H64" s="18">
        <v>12.5</v>
      </c>
      <c r="I64" s="17" t="s">
        <v>138</v>
      </c>
      <c r="J64" s="17" t="s">
        <v>234</v>
      </c>
    </row>
    <row r="65" spans="1:10" x14ac:dyDescent="0.3">
      <c r="A65" s="8" t="s">
        <v>194</v>
      </c>
      <c r="B65" s="17" t="s">
        <v>213</v>
      </c>
      <c r="C65" s="17" t="s">
        <v>233</v>
      </c>
      <c r="D65" s="21">
        <v>45915</v>
      </c>
      <c r="E65" s="25"/>
      <c r="F65" s="25"/>
      <c r="G65" s="18">
        <v>87.12</v>
      </c>
      <c r="H65" s="18">
        <v>0</v>
      </c>
      <c r="I65" s="17" t="s">
        <v>138</v>
      </c>
      <c r="J65" s="17" t="s">
        <v>234</v>
      </c>
    </row>
    <row r="66" spans="1:10" x14ac:dyDescent="0.3">
      <c r="A66" s="8" t="s">
        <v>194</v>
      </c>
      <c r="B66" s="17"/>
      <c r="C66" s="17" t="s">
        <v>217</v>
      </c>
      <c r="D66" s="21">
        <v>45905</v>
      </c>
      <c r="E66" s="25"/>
      <c r="F66" s="25"/>
      <c r="G66" s="27">
        <v>2800</v>
      </c>
      <c r="H66" s="18">
        <v>0</v>
      </c>
      <c r="I66" s="17" t="s">
        <v>138</v>
      </c>
      <c r="J66" s="17" t="s">
        <v>234</v>
      </c>
    </row>
    <row r="67" spans="1:10" x14ac:dyDescent="0.3">
      <c r="A67" s="8" t="s">
        <v>194</v>
      </c>
      <c r="B67" s="17" t="s">
        <v>205</v>
      </c>
      <c r="C67" s="17" t="s">
        <v>233</v>
      </c>
      <c r="D67" s="21">
        <v>45904</v>
      </c>
      <c r="E67" s="25"/>
      <c r="F67" s="25"/>
      <c r="G67" s="18">
        <v>18.66</v>
      </c>
      <c r="H67" s="18">
        <v>0</v>
      </c>
      <c r="I67" s="17" t="s">
        <v>138</v>
      </c>
      <c r="J67" s="17" t="s">
        <v>234</v>
      </c>
    </row>
    <row r="68" spans="1:10" x14ac:dyDescent="0.3">
      <c r="A68" s="8" t="s">
        <v>194</v>
      </c>
      <c r="B68" s="17" t="s">
        <v>207</v>
      </c>
      <c r="C68" s="17" t="s">
        <v>233</v>
      </c>
      <c r="D68" s="21">
        <v>45904</v>
      </c>
      <c r="E68" s="25"/>
      <c r="F68" s="25"/>
      <c r="G68" s="18">
        <v>7.37</v>
      </c>
      <c r="H68" s="18">
        <v>0</v>
      </c>
      <c r="I68" s="17" t="s">
        <v>138</v>
      </c>
      <c r="J68" s="17" t="s">
        <v>234</v>
      </c>
    </row>
    <row r="69" spans="1:10" x14ac:dyDescent="0.3">
      <c r="A69" s="8" t="s">
        <v>194</v>
      </c>
      <c r="B69" s="17" t="s">
        <v>100</v>
      </c>
      <c r="C69" s="17" t="s">
        <v>233</v>
      </c>
      <c r="D69" s="21">
        <v>45904</v>
      </c>
      <c r="E69" s="25"/>
      <c r="F69" s="25"/>
      <c r="G69" s="18">
        <v>22.9</v>
      </c>
      <c r="H69" s="18">
        <v>0</v>
      </c>
      <c r="I69" s="17" t="s">
        <v>138</v>
      </c>
      <c r="J69" s="17" t="s">
        <v>234</v>
      </c>
    </row>
    <row r="70" spans="1:10" x14ac:dyDescent="0.3">
      <c r="A70" s="8" t="s">
        <v>194</v>
      </c>
      <c r="B70" s="17" t="s">
        <v>211</v>
      </c>
      <c r="C70" s="17" t="s">
        <v>137</v>
      </c>
      <c r="D70" s="21">
        <v>45895</v>
      </c>
      <c r="E70" s="28">
        <v>4.8000000000000001E-2</v>
      </c>
      <c r="F70" s="18">
        <v>85416.67</v>
      </c>
      <c r="G70" s="18">
        <v>4100</v>
      </c>
      <c r="H70" s="18">
        <v>65</v>
      </c>
      <c r="I70" s="17" t="s">
        <v>138</v>
      </c>
      <c r="J70" s="17" t="s">
        <v>234</v>
      </c>
    </row>
    <row r="71" spans="1:10" x14ac:dyDescent="0.3">
      <c r="A71" s="8" t="s">
        <v>194</v>
      </c>
      <c r="B71" s="17" t="s">
        <v>213</v>
      </c>
      <c r="C71" s="17" t="s">
        <v>233</v>
      </c>
      <c r="D71" s="21">
        <v>45884</v>
      </c>
      <c r="E71" s="25"/>
      <c r="F71" s="25"/>
      <c r="G71" s="18">
        <v>87.12</v>
      </c>
      <c r="H71" s="18">
        <v>0</v>
      </c>
      <c r="I71" s="17" t="s">
        <v>138</v>
      </c>
      <c r="J71" s="17" t="s">
        <v>234</v>
      </c>
    </row>
    <row r="72" spans="1:10" x14ac:dyDescent="0.3">
      <c r="A72" s="8" t="s">
        <v>194</v>
      </c>
      <c r="B72" s="17"/>
      <c r="C72" s="17" t="s">
        <v>239</v>
      </c>
      <c r="D72" s="21">
        <v>45885</v>
      </c>
      <c r="E72" s="25"/>
      <c r="F72" s="25"/>
      <c r="G72" s="27">
        <v>2800</v>
      </c>
      <c r="H72" s="18">
        <v>0</v>
      </c>
      <c r="I72" s="17" t="s">
        <v>138</v>
      </c>
      <c r="J72" s="17" t="s">
        <v>234</v>
      </c>
    </row>
    <row r="73" spans="1:10" x14ac:dyDescent="0.3">
      <c r="A73" s="8" t="s">
        <v>194</v>
      </c>
      <c r="B73" s="17" t="s">
        <v>104</v>
      </c>
      <c r="C73" s="17" t="s">
        <v>235</v>
      </c>
      <c r="D73" s="21">
        <v>45883</v>
      </c>
      <c r="E73" s="25"/>
      <c r="F73" s="25"/>
      <c r="G73" s="18">
        <v>22.62</v>
      </c>
      <c r="H73" s="18">
        <v>0</v>
      </c>
      <c r="I73" s="17" t="s">
        <v>138</v>
      </c>
      <c r="J73" s="17" t="s">
        <v>234</v>
      </c>
    </row>
    <row r="74" spans="1:10" x14ac:dyDescent="0.3">
      <c r="A74" s="8" t="s">
        <v>194</v>
      </c>
      <c r="B74" s="17" t="s">
        <v>205</v>
      </c>
      <c r="C74" s="17" t="s">
        <v>233</v>
      </c>
      <c r="D74" s="21">
        <v>45874</v>
      </c>
      <c r="E74" s="17"/>
      <c r="F74" s="17"/>
      <c r="G74" s="18">
        <v>18.54</v>
      </c>
      <c r="H74" s="18">
        <v>0</v>
      </c>
      <c r="I74" s="17" t="s">
        <v>138</v>
      </c>
      <c r="J74" s="17" t="s">
        <v>234</v>
      </c>
    </row>
    <row r="75" spans="1:10" x14ac:dyDescent="0.3">
      <c r="A75" s="8" t="s">
        <v>194</v>
      </c>
      <c r="B75" s="17" t="s">
        <v>207</v>
      </c>
      <c r="C75" s="17" t="s">
        <v>233</v>
      </c>
      <c r="D75" s="21">
        <v>45874</v>
      </c>
      <c r="E75" s="17"/>
      <c r="F75" s="17"/>
      <c r="G75" s="18">
        <v>7.22</v>
      </c>
      <c r="H75" s="18">
        <v>0</v>
      </c>
      <c r="I75" s="17" t="s">
        <v>138</v>
      </c>
      <c r="J75" s="17" t="s">
        <v>234</v>
      </c>
    </row>
    <row r="76" spans="1:10" x14ac:dyDescent="0.3">
      <c r="A76" s="8" t="s">
        <v>194</v>
      </c>
      <c r="B76" s="17" t="s">
        <v>100</v>
      </c>
      <c r="C76" s="17" t="s">
        <v>233</v>
      </c>
      <c r="D76" s="21">
        <v>45874</v>
      </c>
      <c r="E76" s="17"/>
      <c r="F76" s="17"/>
      <c r="G76" s="18">
        <v>22.8</v>
      </c>
      <c r="H76" s="18">
        <v>0</v>
      </c>
      <c r="I76" s="17" t="s">
        <v>138</v>
      </c>
      <c r="J76" s="17" t="s">
        <v>234</v>
      </c>
    </row>
    <row r="77" spans="1:10" x14ac:dyDescent="0.3">
      <c r="A77" s="8" t="s">
        <v>194</v>
      </c>
      <c r="B77" s="17"/>
      <c r="C77" s="17" t="s">
        <v>217</v>
      </c>
      <c r="D77" s="21">
        <v>45874</v>
      </c>
      <c r="E77" s="17"/>
      <c r="F77" s="17"/>
      <c r="G77" s="18">
        <v>2800</v>
      </c>
      <c r="H77" s="18">
        <v>0</v>
      </c>
      <c r="I77" s="17" t="s">
        <v>138</v>
      </c>
      <c r="J77" s="17" t="s">
        <v>234</v>
      </c>
    </row>
    <row r="78" spans="1:10" x14ac:dyDescent="0.3">
      <c r="A78" s="8" t="s">
        <v>194</v>
      </c>
      <c r="B78" s="17" t="s">
        <v>202</v>
      </c>
      <c r="C78" s="17" t="s">
        <v>235</v>
      </c>
      <c r="D78" s="21">
        <v>45870</v>
      </c>
      <c r="E78" s="17"/>
      <c r="F78" s="17"/>
      <c r="G78" s="18">
        <v>27.75</v>
      </c>
      <c r="H78" s="18">
        <v>0</v>
      </c>
      <c r="I78" s="17" t="s">
        <v>138</v>
      </c>
      <c r="J78" s="17" t="s">
        <v>234</v>
      </c>
    </row>
    <row r="79" spans="1:10" x14ac:dyDescent="0.3">
      <c r="A79" s="8" t="s">
        <v>194</v>
      </c>
      <c r="B79" s="17" t="s">
        <v>213</v>
      </c>
      <c r="C79" s="17" t="s">
        <v>233</v>
      </c>
      <c r="D79" s="21">
        <v>45853</v>
      </c>
      <c r="E79" s="25"/>
      <c r="F79" s="25"/>
      <c r="G79" s="18">
        <v>87.12</v>
      </c>
      <c r="H79" s="18">
        <v>0</v>
      </c>
      <c r="I79" s="17" t="s">
        <v>138</v>
      </c>
      <c r="J79" s="17" t="s">
        <v>234</v>
      </c>
    </row>
    <row r="80" spans="1:10" x14ac:dyDescent="0.3">
      <c r="A80" s="8" t="s">
        <v>194</v>
      </c>
      <c r="B80" s="17" t="s">
        <v>200</v>
      </c>
      <c r="C80" s="17" t="s">
        <v>235</v>
      </c>
      <c r="D80" s="21">
        <v>45848</v>
      </c>
      <c r="E80" s="17"/>
      <c r="F80" s="17"/>
      <c r="G80" s="18">
        <v>47.5</v>
      </c>
      <c r="H80" s="18">
        <v>0</v>
      </c>
      <c r="I80" s="17" t="s">
        <v>138</v>
      </c>
      <c r="J80" s="17" t="s">
        <v>234</v>
      </c>
    </row>
    <row r="81" spans="1:10" x14ac:dyDescent="0.3">
      <c r="A81" s="8" t="s">
        <v>194</v>
      </c>
      <c r="B81" s="17"/>
      <c r="C81" s="17" t="s">
        <v>217</v>
      </c>
      <c r="D81" s="21">
        <v>45843</v>
      </c>
      <c r="E81" s="17"/>
      <c r="F81" s="17"/>
      <c r="G81" s="18">
        <v>2800</v>
      </c>
      <c r="H81" s="18">
        <v>0</v>
      </c>
      <c r="I81" s="17" t="s">
        <v>138</v>
      </c>
      <c r="J81" s="17" t="s">
        <v>234</v>
      </c>
    </row>
    <row r="82" spans="1:10" x14ac:dyDescent="0.3">
      <c r="A82" s="8" t="s">
        <v>194</v>
      </c>
      <c r="B82" s="17" t="s">
        <v>205</v>
      </c>
      <c r="C82" s="17" t="s">
        <v>233</v>
      </c>
      <c r="D82" s="21">
        <v>45841</v>
      </c>
      <c r="E82" s="17"/>
      <c r="F82" s="17"/>
      <c r="G82" s="18">
        <v>18.420000000000002</v>
      </c>
      <c r="H82" s="18">
        <v>0</v>
      </c>
      <c r="I82" s="17" t="s">
        <v>138</v>
      </c>
      <c r="J82" s="17" t="s">
        <v>234</v>
      </c>
    </row>
    <row r="83" spans="1:10" x14ac:dyDescent="0.3">
      <c r="A83" s="8" t="s">
        <v>194</v>
      </c>
      <c r="B83" s="17" t="s">
        <v>207</v>
      </c>
      <c r="C83" s="17" t="s">
        <v>233</v>
      </c>
      <c r="D83" s="21">
        <v>45841</v>
      </c>
      <c r="E83" s="17"/>
      <c r="F83" s="17"/>
      <c r="G83" s="18">
        <v>7.1</v>
      </c>
      <c r="H83" s="18">
        <v>0</v>
      </c>
      <c r="I83" s="17" t="s">
        <v>138</v>
      </c>
      <c r="J83" s="17" t="s">
        <v>234</v>
      </c>
    </row>
    <row r="84" spans="1:10" x14ac:dyDescent="0.3">
      <c r="A84" s="8" t="s">
        <v>194</v>
      </c>
      <c r="B84" s="17" t="s">
        <v>100</v>
      </c>
      <c r="C84" s="17" t="s">
        <v>233</v>
      </c>
      <c r="D84" s="21">
        <v>45841</v>
      </c>
      <c r="E84" s="17"/>
      <c r="F84" s="17"/>
      <c r="G84" s="18">
        <v>22.6</v>
      </c>
      <c r="H84" s="18">
        <v>0</v>
      </c>
      <c r="I84" s="17" t="s">
        <v>138</v>
      </c>
      <c r="J84" s="17" t="s">
        <v>234</v>
      </c>
    </row>
    <row r="85" spans="1:10" x14ac:dyDescent="0.3">
      <c r="A85" s="8" t="s">
        <v>194</v>
      </c>
      <c r="B85" s="17" t="s">
        <v>213</v>
      </c>
      <c r="C85" s="17" t="s">
        <v>233</v>
      </c>
      <c r="D85" s="21">
        <v>45823</v>
      </c>
      <c r="E85" s="17"/>
      <c r="F85" s="17"/>
      <c r="G85" s="18">
        <v>87.12</v>
      </c>
      <c r="H85" s="18">
        <v>0</v>
      </c>
      <c r="I85" s="17" t="s">
        <v>138</v>
      </c>
      <c r="J85" s="17" t="s">
        <v>234</v>
      </c>
    </row>
    <row r="86" spans="1:10" x14ac:dyDescent="0.3">
      <c r="A86" s="8" t="s">
        <v>194</v>
      </c>
      <c r="B86" s="17" t="s">
        <v>122</v>
      </c>
      <c r="C86" s="17" t="s">
        <v>137</v>
      </c>
      <c r="D86" s="21">
        <v>45820</v>
      </c>
      <c r="E86" s="26">
        <v>10</v>
      </c>
      <c r="F86" s="27">
        <v>456</v>
      </c>
      <c r="G86" s="18">
        <v>4560</v>
      </c>
      <c r="H86" s="18">
        <v>12.5</v>
      </c>
      <c r="I86" s="17" t="s">
        <v>138</v>
      </c>
      <c r="J86" s="17" t="s">
        <v>234</v>
      </c>
    </row>
    <row r="87" spans="1:10" x14ac:dyDescent="0.3">
      <c r="A87" s="8" t="s">
        <v>194</v>
      </c>
      <c r="B87" s="17"/>
      <c r="C87" s="17" t="s">
        <v>217</v>
      </c>
      <c r="D87" s="21">
        <v>45813</v>
      </c>
      <c r="E87" s="17"/>
      <c r="F87" s="17"/>
      <c r="G87" s="18">
        <v>2800</v>
      </c>
      <c r="H87" s="18">
        <v>0</v>
      </c>
      <c r="I87" s="17" t="s">
        <v>138</v>
      </c>
      <c r="J87" s="17" t="s">
        <v>234</v>
      </c>
    </row>
    <row r="88" spans="1:10" x14ac:dyDescent="0.3">
      <c r="A88" s="8" t="s">
        <v>194</v>
      </c>
      <c r="B88" s="17" t="s">
        <v>205</v>
      </c>
      <c r="C88" s="17" t="s">
        <v>233</v>
      </c>
      <c r="D88" s="21">
        <v>45812</v>
      </c>
      <c r="E88" s="17"/>
      <c r="F88" s="17"/>
      <c r="G88" s="18">
        <v>18.239999999999998</v>
      </c>
      <c r="H88" s="18">
        <v>0</v>
      </c>
      <c r="I88" s="17" t="s">
        <v>138</v>
      </c>
      <c r="J88" s="17" t="s">
        <v>234</v>
      </c>
    </row>
    <row r="89" spans="1:10" x14ac:dyDescent="0.3">
      <c r="A89" s="8" t="s">
        <v>194</v>
      </c>
      <c r="B89" s="17" t="s">
        <v>207</v>
      </c>
      <c r="C89" s="17" t="s">
        <v>233</v>
      </c>
      <c r="D89" s="21">
        <v>45812</v>
      </c>
      <c r="E89" s="17"/>
      <c r="F89" s="17"/>
      <c r="G89" s="18">
        <v>7.01</v>
      </c>
      <c r="H89" s="18">
        <v>0</v>
      </c>
      <c r="I89" s="17" t="s">
        <v>138</v>
      </c>
      <c r="J89" s="17" t="s">
        <v>234</v>
      </c>
    </row>
    <row r="90" spans="1:10" x14ac:dyDescent="0.3">
      <c r="A90" s="8" t="s">
        <v>194</v>
      </c>
      <c r="B90" s="17" t="s">
        <v>100</v>
      </c>
      <c r="C90" s="17" t="s">
        <v>233</v>
      </c>
      <c r="D90" s="21">
        <v>45812</v>
      </c>
      <c r="E90" s="17"/>
      <c r="F90" s="17"/>
      <c r="G90" s="18">
        <v>22.4</v>
      </c>
      <c r="H90" s="18">
        <v>0</v>
      </c>
      <c r="I90" s="17" t="s">
        <v>138</v>
      </c>
      <c r="J90" s="17" t="s">
        <v>234</v>
      </c>
    </row>
    <row r="91" spans="1:10" x14ac:dyDescent="0.3">
      <c r="A91" s="8" t="s">
        <v>194</v>
      </c>
      <c r="B91" s="17" t="s">
        <v>110</v>
      </c>
      <c r="C91" s="17" t="s">
        <v>137</v>
      </c>
      <c r="D91" s="21">
        <v>45797</v>
      </c>
      <c r="E91" s="26">
        <v>30</v>
      </c>
      <c r="F91" s="27">
        <v>48.7</v>
      </c>
      <c r="G91" s="18">
        <v>1461</v>
      </c>
      <c r="H91" s="18">
        <v>12.5</v>
      </c>
      <c r="I91" s="17" t="s">
        <v>138</v>
      </c>
      <c r="J91" s="17" t="s">
        <v>234</v>
      </c>
    </row>
    <row r="92" spans="1:10" x14ac:dyDescent="0.3">
      <c r="A92" s="8" t="s">
        <v>194</v>
      </c>
      <c r="B92" s="17" t="s">
        <v>213</v>
      </c>
      <c r="C92" s="17" t="s">
        <v>233</v>
      </c>
      <c r="D92" s="21">
        <v>45792</v>
      </c>
      <c r="E92" s="17"/>
      <c r="F92" s="17"/>
      <c r="G92" s="18">
        <v>87.12</v>
      </c>
      <c r="H92" s="18">
        <v>0</v>
      </c>
      <c r="I92" s="17" t="s">
        <v>138</v>
      </c>
      <c r="J92" s="17" t="s">
        <v>234</v>
      </c>
    </row>
    <row r="93" spans="1:10" x14ac:dyDescent="0.3">
      <c r="A93" s="8" t="s">
        <v>194</v>
      </c>
      <c r="B93" s="17" t="s">
        <v>104</v>
      </c>
      <c r="C93" s="17" t="s">
        <v>235</v>
      </c>
      <c r="D93" s="21">
        <v>45792</v>
      </c>
      <c r="E93" s="17"/>
      <c r="F93" s="17"/>
      <c r="G93" s="18">
        <v>22.62</v>
      </c>
      <c r="H93" s="18">
        <v>0</v>
      </c>
      <c r="I93" s="17" t="s">
        <v>138</v>
      </c>
      <c r="J93" s="17" t="s">
        <v>234</v>
      </c>
    </row>
    <row r="94" spans="1:10" x14ac:dyDescent="0.3">
      <c r="A94" s="8" t="s">
        <v>194</v>
      </c>
      <c r="B94" s="17"/>
      <c r="C94" s="17" t="s">
        <v>217</v>
      </c>
      <c r="D94" s="21">
        <v>45782</v>
      </c>
      <c r="E94" s="25"/>
      <c r="F94" s="25"/>
      <c r="G94" s="18">
        <v>2800</v>
      </c>
      <c r="H94" s="18">
        <v>0</v>
      </c>
      <c r="I94" s="17" t="s">
        <v>138</v>
      </c>
      <c r="J94" s="17" t="s">
        <v>234</v>
      </c>
    </row>
    <row r="95" spans="1:10" x14ac:dyDescent="0.3">
      <c r="A95" s="8" t="s">
        <v>194</v>
      </c>
      <c r="B95" s="17" t="s">
        <v>205</v>
      </c>
      <c r="C95" s="17" t="s">
        <v>233</v>
      </c>
      <c r="D95" s="21">
        <v>45779</v>
      </c>
      <c r="E95" s="17"/>
      <c r="F95" s="17"/>
      <c r="G95" s="18">
        <v>18.059999999999999</v>
      </c>
      <c r="H95" s="18">
        <v>0</v>
      </c>
      <c r="I95" s="17" t="s">
        <v>138</v>
      </c>
      <c r="J95" s="17" t="s">
        <v>234</v>
      </c>
    </row>
    <row r="96" spans="1:10" x14ac:dyDescent="0.3">
      <c r="A96" s="8" t="s">
        <v>194</v>
      </c>
      <c r="B96" s="17" t="s">
        <v>207</v>
      </c>
      <c r="C96" s="17" t="s">
        <v>233</v>
      </c>
      <c r="D96" s="21">
        <v>45779</v>
      </c>
      <c r="E96" s="17"/>
      <c r="F96" s="17"/>
      <c r="G96" s="18">
        <v>6.89</v>
      </c>
      <c r="H96" s="18">
        <v>0</v>
      </c>
      <c r="I96" s="17" t="s">
        <v>138</v>
      </c>
      <c r="J96" s="17" t="s">
        <v>234</v>
      </c>
    </row>
    <row r="97" spans="1:10" x14ac:dyDescent="0.3">
      <c r="A97" s="8" t="s">
        <v>194</v>
      </c>
      <c r="B97" s="17" t="s">
        <v>100</v>
      </c>
      <c r="C97" s="17" t="s">
        <v>233</v>
      </c>
      <c r="D97" s="21">
        <v>45779</v>
      </c>
      <c r="E97" s="17"/>
      <c r="F97" s="17"/>
      <c r="G97" s="18">
        <v>22.1</v>
      </c>
      <c r="H97" s="18">
        <v>0</v>
      </c>
      <c r="I97" s="17" t="s">
        <v>138</v>
      </c>
      <c r="J97" s="17" t="s">
        <v>234</v>
      </c>
    </row>
    <row r="98" spans="1:10" x14ac:dyDescent="0.3">
      <c r="A98" s="8" t="s">
        <v>194</v>
      </c>
      <c r="B98" s="17" t="s">
        <v>202</v>
      </c>
      <c r="C98" s="17" t="s">
        <v>235</v>
      </c>
      <c r="D98" s="21">
        <v>45778</v>
      </c>
      <c r="E98" s="17"/>
      <c r="F98" s="17"/>
      <c r="G98" s="18">
        <v>27.75</v>
      </c>
      <c r="H98" s="18">
        <v>0</v>
      </c>
      <c r="I98" s="17" t="s">
        <v>138</v>
      </c>
      <c r="J98" s="17" t="s">
        <v>234</v>
      </c>
    </row>
    <row r="99" spans="1:10" x14ac:dyDescent="0.3">
      <c r="A99" s="8" t="s">
        <v>194</v>
      </c>
      <c r="B99" s="17"/>
      <c r="C99" s="17" t="s">
        <v>239</v>
      </c>
      <c r="D99" s="21">
        <v>45770</v>
      </c>
      <c r="E99" s="17"/>
      <c r="F99" s="17"/>
      <c r="G99" s="18">
        <v>4000</v>
      </c>
      <c r="H99" s="18">
        <v>0</v>
      </c>
      <c r="I99" s="17" t="s">
        <v>138</v>
      </c>
      <c r="J99" s="17" t="s">
        <v>234</v>
      </c>
    </row>
    <row r="100" spans="1:10" x14ac:dyDescent="0.3">
      <c r="A100" s="8" t="s">
        <v>194</v>
      </c>
      <c r="B100" s="17" t="s">
        <v>209</v>
      </c>
      <c r="C100" s="17" t="s">
        <v>137</v>
      </c>
      <c r="D100" s="21">
        <v>45769</v>
      </c>
      <c r="E100" s="22">
        <v>40</v>
      </c>
      <c r="F100" s="18">
        <v>12.9</v>
      </c>
      <c r="G100" s="18">
        <v>516</v>
      </c>
      <c r="H100" s="18">
        <v>12.5</v>
      </c>
      <c r="I100" s="17" t="s">
        <v>138</v>
      </c>
      <c r="J100" s="17" t="s">
        <v>234</v>
      </c>
    </row>
    <row r="101" spans="1:10" x14ac:dyDescent="0.3">
      <c r="A101" s="8" t="s">
        <v>194</v>
      </c>
      <c r="B101" s="17" t="s">
        <v>213</v>
      </c>
      <c r="C101" s="17" t="s">
        <v>233</v>
      </c>
      <c r="D101" s="21">
        <v>45762</v>
      </c>
      <c r="E101" s="17"/>
      <c r="F101" s="17"/>
      <c r="G101" s="18">
        <v>87.12</v>
      </c>
      <c r="H101" s="18">
        <v>0</v>
      </c>
      <c r="I101" s="17" t="s">
        <v>138</v>
      </c>
      <c r="J101" s="17" t="s">
        <v>234</v>
      </c>
    </row>
    <row r="102" spans="1:10" x14ac:dyDescent="0.3">
      <c r="A102" s="8" t="s">
        <v>194</v>
      </c>
      <c r="B102" s="17" t="s">
        <v>200</v>
      </c>
      <c r="C102" s="17" t="s">
        <v>235</v>
      </c>
      <c r="D102" s="21">
        <v>45762</v>
      </c>
      <c r="E102" s="17"/>
      <c r="F102" s="17"/>
      <c r="G102" s="18">
        <v>47.5</v>
      </c>
      <c r="H102" s="18">
        <v>0</v>
      </c>
      <c r="I102" s="17" t="s">
        <v>138</v>
      </c>
      <c r="J102" s="17" t="s">
        <v>234</v>
      </c>
    </row>
    <row r="103" spans="1:10" x14ac:dyDescent="0.3">
      <c r="A103" s="8" t="s">
        <v>194</v>
      </c>
      <c r="B103" s="17" t="s">
        <v>118</v>
      </c>
      <c r="C103" s="17" t="s">
        <v>137</v>
      </c>
      <c r="D103" s="21">
        <v>45754</v>
      </c>
      <c r="E103" s="26">
        <v>92</v>
      </c>
      <c r="F103" s="27">
        <v>109.1</v>
      </c>
      <c r="G103" s="18">
        <v>10037.200000000001</v>
      </c>
      <c r="H103" s="18">
        <v>2.5</v>
      </c>
      <c r="I103" s="17" t="s">
        <v>138</v>
      </c>
      <c r="J103" s="17" t="s">
        <v>234</v>
      </c>
    </row>
    <row r="104" spans="1:10" x14ac:dyDescent="0.3">
      <c r="A104" s="8" t="s">
        <v>194</v>
      </c>
      <c r="B104" s="17"/>
      <c r="C104" s="17" t="s">
        <v>217</v>
      </c>
      <c r="D104" s="21">
        <v>45752</v>
      </c>
      <c r="E104" s="17"/>
      <c r="F104" s="17"/>
      <c r="G104" s="18">
        <v>2800</v>
      </c>
      <c r="H104" s="18">
        <v>0</v>
      </c>
      <c r="I104" s="17" t="s">
        <v>138</v>
      </c>
      <c r="J104" s="17" t="s">
        <v>234</v>
      </c>
    </row>
    <row r="105" spans="1:10" x14ac:dyDescent="0.3">
      <c r="A105" s="8" t="s">
        <v>194</v>
      </c>
      <c r="B105" s="17" t="s">
        <v>104</v>
      </c>
      <c r="C105" s="17" t="s">
        <v>137</v>
      </c>
      <c r="D105" s="21">
        <v>45750</v>
      </c>
      <c r="E105" s="26">
        <v>52</v>
      </c>
      <c r="F105" s="27">
        <v>201.2</v>
      </c>
      <c r="G105" s="18">
        <v>10462.4</v>
      </c>
      <c r="H105" s="18">
        <v>2.5</v>
      </c>
      <c r="I105" s="17" t="s">
        <v>138</v>
      </c>
      <c r="J105" s="17" t="s">
        <v>234</v>
      </c>
    </row>
    <row r="106" spans="1:10" x14ac:dyDescent="0.3">
      <c r="A106" s="8" t="s">
        <v>194</v>
      </c>
      <c r="B106" s="17" t="s">
        <v>205</v>
      </c>
      <c r="C106" s="17" t="s">
        <v>233</v>
      </c>
      <c r="D106" s="21">
        <v>45750</v>
      </c>
      <c r="E106" s="17"/>
      <c r="F106" s="17"/>
      <c r="G106" s="18">
        <v>17.7</v>
      </c>
      <c r="H106" s="18">
        <v>0</v>
      </c>
      <c r="I106" s="17" t="s">
        <v>138</v>
      </c>
      <c r="J106" s="17" t="s">
        <v>234</v>
      </c>
    </row>
    <row r="107" spans="1:10" x14ac:dyDescent="0.3">
      <c r="A107" s="8" t="s">
        <v>194</v>
      </c>
      <c r="B107" s="17" t="s">
        <v>207</v>
      </c>
      <c r="C107" s="17" t="s">
        <v>233</v>
      </c>
      <c r="D107" s="21">
        <v>45750</v>
      </c>
      <c r="E107" s="17"/>
      <c r="F107" s="17"/>
      <c r="G107" s="18">
        <v>6.74</v>
      </c>
      <c r="H107" s="18">
        <v>0</v>
      </c>
      <c r="I107" s="17" t="s">
        <v>138</v>
      </c>
      <c r="J107" s="17" t="s">
        <v>234</v>
      </c>
    </row>
    <row r="108" spans="1:10" x14ac:dyDescent="0.3">
      <c r="A108" s="8" t="s">
        <v>194</v>
      </c>
      <c r="B108" s="17" t="s">
        <v>100</v>
      </c>
      <c r="C108" s="17" t="s">
        <v>233</v>
      </c>
      <c r="D108" s="21">
        <v>45750</v>
      </c>
      <c r="E108" s="25"/>
      <c r="F108" s="25"/>
      <c r="G108" s="18">
        <v>21.9</v>
      </c>
      <c r="H108" s="18">
        <v>0</v>
      </c>
      <c r="I108" s="17" t="s">
        <v>138</v>
      </c>
      <c r="J108" s="17" t="s">
        <v>234</v>
      </c>
    </row>
    <row r="109" spans="1:10" x14ac:dyDescent="0.3">
      <c r="A109" s="8" t="s">
        <v>194</v>
      </c>
      <c r="B109" s="17" t="s">
        <v>118</v>
      </c>
      <c r="C109" s="17" t="s">
        <v>137</v>
      </c>
      <c r="D109" s="21">
        <v>45740</v>
      </c>
      <c r="E109" s="26">
        <v>70</v>
      </c>
      <c r="F109" s="27">
        <v>102</v>
      </c>
      <c r="G109" s="18">
        <v>7140</v>
      </c>
      <c r="H109" s="18">
        <v>2.5</v>
      </c>
      <c r="I109" s="17" t="s">
        <v>138</v>
      </c>
      <c r="J109" s="17" t="s">
        <v>234</v>
      </c>
    </row>
    <row r="110" spans="1:10" x14ac:dyDescent="0.3">
      <c r="A110" s="8" t="s">
        <v>194</v>
      </c>
      <c r="B110" s="17" t="s">
        <v>104</v>
      </c>
      <c r="C110" s="17" t="s">
        <v>137</v>
      </c>
      <c r="D110" s="21">
        <v>45734</v>
      </c>
      <c r="E110" s="26">
        <v>35</v>
      </c>
      <c r="F110" s="27">
        <v>194.5</v>
      </c>
      <c r="G110" s="18">
        <v>6807.5</v>
      </c>
      <c r="H110" s="18">
        <v>2.5</v>
      </c>
      <c r="I110" s="17" t="s">
        <v>138</v>
      </c>
      <c r="J110" s="17" t="s">
        <v>234</v>
      </c>
    </row>
    <row r="111" spans="1:10" x14ac:dyDescent="0.3">
      <c r="A111" s="8" t="s">
        <v>194</v>
      </c>
      <c r="B111" s="17" t="s">
        <v>213</v>
      </c>
      <c r="C111" s="17" t="s">
        <v>233</v>
      </c>
      <c r="D111" s="21">
        <v>45731</v>
      </c>
      <c r="E111" s="25"/>
      <c r="F111" s="25"/>
      <c r="G111" s="18">
        <v>87.12</v>
      </c>
      <c r="H111" s="18">
        <v>0</v>
      </c>
      <c r="I111" s="17" t="s">
        <v>138</v>
      </c>
      <c r="J111" s="17" t="s">
        <v>234</v>
      </c>
    </row>
    <row r="112" spans="1:10" x14ac:dyDescent="0.3">
      <c r="A112" s="8" t="s">
        <v>194</v>
      </c>
      <c r="B112" s="17"/>
      <c r="C112" s="17" t="s">
        <v>217</v>
      </c>
      <c r="D112" s="21">
        <v>45726</v>
      </c>
      <c r="E112" s="17"/>
      <c r="F112" s="17"/>
      <c r="G112" s="18">
        <v>4500</v>
      </c>
      <c r="H112" s="18">
        <v>0</v>
      </c>
      <c r="I112" s="17" t="s">
        <v>138</v>
      </c>
      <c r="J112" s="17" t="s">
        <v>234</v>
      </c>
    </row>
    <row r="113" spans="1:10" x14ac:dyDescent="0.3">
      <c r="A113" s="8" t="s">
        <v>194</v>
      </c>
      <c r="B113" s="17"/>
      <c r="C113" s="17" t="s">
        <v>217</v>
      </c>
      <c r="D113" s="21">
        <v>45726</v>
      </c>
      <c r="E113" s="25"/>
      <c r="F113" s="25"/>
      <c r="G113" s="18">
        <v>5600</v>
      </c>
      <c r="H113" s="18">
        <v>0</v>
      </c>
      <c r="I113" s="17" t="s">
        <v>138</v>
      </c>
      <c r="J113" s="17" t="s">
        <v>234</v>
      </c>
    </row>
    <row r="114" spans="1:10" x14ac:dyDescent="0.3">
      <c r="A114" s="8" t="s">
        <v>194</v>
      </c>
      <c r="B114" s="17"/>
      <c r="C114" s="17" t="s">
        <v>217</v>
      </c>
      <c r="D114" s="21">
        <v>45721</v>
      </c>
      <c r="E114" s="17"/>
      <c r="F114" s="17"/>
      <c r="G114" s="18">
        <v>2800</v>
      </c>
      <c r="H114" s="18">
        <v>0</v>
      </c>
      <c r="I114" s="17" t="s">
        <v>138</v>
      </c>
      <c r="J114" s="17" t="s">
        <v>234</v>
      </c>
    </row>
    <row r="115" spans="1:10" x14ac:dyDescent="0.3">
      <c r="A115" s="8" t="s">
        <v>194</v>
      </c>
      <c r="B115" s="17" t="s">
        <v>84</v>
      </c>
      <c r="C115" s="17" t="s">
        <v>137</v>
      </c>
      <c r="D115" s="21">
        <v>45719</v>
      </c>
      <c r="E115" s="26">
        <v>60</v>
      </c>
      <c r="F115" s="27">
        <v>264.5</v>
      </c>
      <c r="G115" s="18">
        <v>15870</v>
      </c>
      <c r="H115" s="18">
        <v>12.5</v>
      </c>
      <c r="I115" s="17" t="s">
        <v>138</v>
      </c>
      <c r="J115" s="17" t="s">
        <v>234</v>
      </c>
    </row>
    <row r="116" spans="1:10" x14ac:dyDescent="0.3">
      <c r="A116" s="8" t="s">
        <v>194</v>
      </c>
      <c r="B116" s="17" t="s">
        <v>110</v>
      </c>
      <c r="C116" s="17" t="s">
        <v>137</v>
      </c>
      <c r="D116" s="21">
        <v>45719</v>
      </c>
      <c r="E116" s="26">
        <v>180</v>
      </c>
      <c r="F116" s="27">
        <v>49.2</v>
      </c>
      <c r="G116" s="18">
        <v>8856</v>
      </c>
      <c r="H116" s="18">
        <v>12.5</v>
      </c>
      <c r="I116" s="17" t="s">
        <v>138</v>
      </c>
      <c r="J116" s="17" t="s">
        <v>234</v>
      </c>
    </row>
    <row r="117" spans="1:10" x14ac:dyDescent="0.3">
      <c r="A117" s="8" t="s">
        <v>194</v>
      </c>
      <c r="B117" s="17" t="s">
        <v>205</v>
      </c>
      <c r="C117" s="17" t="s">
        <v>137</v>
      </c>
      <c r="D117" s="21">
        <v>45719</v>
      </c>
      <c r="E117" s="22">
        <v>60</v>
      </c>
      <c r="F117" s="18">
        <v>79.400000000000006</v>
      </c>
      <c r="G117" s="18">
        <v>4764</v>
      </c>
      <c r="H117" s="18">
        <v>12.5</v>
      </c>
      <c r="I117" s="17" t="s">
        <v>138</v>
      </c>
      <c r="J117" s="17" t="s">
        <v>234</v>
      </c>
    </row>
    <row r="118" spans="1:10" x14ac:dyDescent="0.3">
      <c r="A118" s="8" t="s">
        <v>194</v>
      </c>
      <c r="B118" s="17" t="s">
        <v>207</v>
      </c>
      <c r="C118" s="17" t="s">
        <v>137</v>
      </c>
      <c r="D118" s="21">
        <v>45719</v>
      </c>
      <c r="E118" s="22">
        <v>24</v>
      </c>
      <c r="F118" s="18">
        <v>104</v>
      </c>
      <c r="G118" s="18">
        <v>2496</v>
      </c>
      <c r="H118" s="18">
        <v>12.5</v>
      </c>
      <c r="I118" s="17" t="s">
        <v>138</v>
      </c>
      <c r="J118" s="17" t="s">
        <v>234</v>
      </c>
    </row>
    <row r="119" spans="1:10" x14ac:dyDescent="0.3">
      <c r="A119" s="8" t="s">
        <v>194</v>
      </c>
      <c r="B119" s="17" t="s">
        <v>213</v>
      </c>
      <c r="C119" s="17" t="s">
        <v>137</v>
      </c>
      <c r="D119" s="21">
        <v>45719</v>
      </c>
      <c r="E119" s="26">
        <v>20500</v>
      </c>
      <c r="F119" s="27">
        <v>1</v>
      </c>
      <c r="G119" s="18">
        <v>20500</v>
      </c>
      <c r="H119" s="18">
        <v>0</v>
      </c>
      <c r="I119" s="17" t="s">
        <v>138</v>
      </c>
      <c r="J119" s="17" t="s">
        <v>234</v>
      </c>
    </row>
    <row r="120" spans="1:10" x14ac:dyDescent="0.3">
      <c r="A120" s="8" t="s">
        <v>194</v>
      </c>
      <c r="B120" s="17" t="s">
        <v>202</v>
      </c>
      <c r="C120" s="17" t="s">
        <v>137</v>
      </c>
      <c r="D120" s="21">
        <v>45719</v>
      </c>
      <c r="E120" s="26">
        <v>100</v>
      </c>
      <c r="F120" s="27">
        <v>26.1</v>
      </c>
      <c r="G120" s="18">
        <v>2610</v>
      </c>
      <c r="H120" s="18">
        <v>12.5</v>
      </c>
      <c r="I120" s="17" t="s">
        <v>138</v>
      </c>
      <c r="J120" s="17" t="s">
        <v>234</v>
      </c>
    </row>
    <row r="121" spans="1:10" x14ac:dyDescent="0.3">
      <c r="A121" s="8" t="s">
        <v>194</v>
      </c>
      <c r="B121" s="17" t="s">
        <v>122</v>
      </c>
      <c r="C121" s="17" t="s">
        <v>137</v>
      </c>
      <c r="D121" s="21">
        <v>45719</v>
      </c>
      <c r="E121" s="26">
        <v>16</v>
      </c>
      <c r="F121" s="27">
        <v>468</v>
      </c>
      <c r="G121" s="18">
        <v>7488</v>
      </c>
      <c r="H121" s="18">
        <v>12.5</v>
      </c>
      <c r="I121" s="17" t="s">
        <v>138</v>
      </c>
      <c r="J121" s="17" t="s">
        <v>234</v>
      </c>
    </row>
    <row r="122" spans="1:10" x14ac:dyDescent="0.3">
      <c r="A122" s="8" t="s">
        <v>194</v>
      </c>
      <c r="B122" s="17" t="s">
        <v>209</v>
      </c>
      <c r="C122" s="17" t="s">
        <v>137</v>
      </c>
      <c r="D122" s="21">
        <v>45719</v>
      </c>
      <c r="E122" s="26">
        <v>220</v>
      </c>
      <c r="F122" s="27">
        <v>12.6</v>
      </c>
      <c r="G122" s="18">
        <v>2772</v>
      </c>
      <c r="H122" s="18">
        <v>12.5</v>
      </c>
      <c r="I122" s="17" t="s">
        <v>138</v>
      </c>
      <c r="J122" s="17" t="s">
        <v>234</v>
      </c>
    </row>
    <row r="123" spans="1:10" x14ac:dyDescent="0.3">
      <c r="A123" s="8" t="s">
        <v>194</v>
      </c>
      <c r="B123" s="17" t="s">
        <v>96</v>
      </c>
      <c r="C123" s="17" t="s">
        <v>137</v>
      </c>
      <c r="D123" s="21">
        <v>45719</v>
      </c>
      <c r="E123" s="22">
        <v>14</v>
      </c>
      <c r="F123" s="18">
        <v>213</v>
      </c>
      <c r="G123" s="18">
        <v>2982</v>
      </c>
      <c r="H123" s="18">
        <v>12.5</v>
      </c>
      <c r="I123" s="17" t="s">
        <v>138</v>
      </c>
      <c r="J123" s="17" t="s">
        <v>234</v>
      </c>
    </row>
    <row r="124" spans="1:10" x14ac:dyDescent="0.3">
      <c r="A124" s="8" t="s">
        <v>194</v>
      </c>
      <c r="B124" s="17" t="s">
        <v>212</v>
      </c>
      <c r="C124" s="17" t="s">
        <v>137</v>
      </c>
      <c r="D124" s="21">
        <v>45719</v>
      </c>
      <c r="E124" s="28">
        <v>0.72</v>
      </c>
      <c r="F124" s="18">
        <v>2668.89</v>
      </c>
      <c r="G124" s="18">
        <v>1921.6</v>
      </c>
      <c r="H124" s="18">
        <v>18</v>
      </c>
      <c r="I124" s="17" t="s">
        <v>138</v>
      </c>
      <c r="J124" s="17" t="s">
        <v>234</v>
      </c>
    </row>
    <row r="125" spans="1:10" x14ac:dyDescent="0.3">
      <c r="A125" s="8" t="s">
        <v>194</v>
      </c>
      <c r="B125" s="17" t="s">
        <v>100</v>
      </c>
      <c r="C125" s="17" t="s">
        <v>137</v>
      </c>
      <c r="D125" s="21">
        <v>45719</v>
      </c>
      <c r="E125" s="22">
        <v>100</v>
      </c>
      <c r="F125" s="18">
        <v>71</v>
      </c>
      <c r="G125" s="27">
        <v>7100</v>
      </c>
      <c r="H125" s="18">
        <v>12.5</v>
      </c>
      <c r="I125" s="17" t="s">
        <v>138</v>
      </c>
      <c r="J125" s="17" t="s">
        <v>234</v>
      </c>
    </row>
    <row r="126" spans="1:10" x14ac:dyDescent="0.3">
      <c r="A126" s="8" t="s">
        <v>194</v>
      </c>
      <c r="B126" s="17" t="s">
        <v>200</v>
      </c>
      <c r="C126" s="17" t="s">
        <v>137</v>
      </c>
      <c r="D126" s="21">
        <v>45719</v>
      </c>
      <c r="E126" s="22">
        <v>50</v>
      </c>
      <c r="F126" s="18">
        <v>72</v>
      </c>
      <c r="G126" s="27">
        <v>3600</v>
      </c>
      <c r="H126" s="18">
        <v>12.5</v>
      </c>
      <c r="I126" s="17" t="s">
        <v>138</v>
      </c>
      <c r="J126" s="17" t="s">
        <v>234</v>
      </c>
    </row>
    <row r="127" spans="1:10" x14ac:dyDescent="0.3">
      <c r="A127" s="8" t="s">
        <v>194</v>
      </c>
      <c r="B127" s="17"/>
      <c r="C127" s="17" t="s">
        <v>217</v>
      </c>
      <c r="D127" s="21">
        <v>45719</v>
      </c>
      <c r="E127" s="25"/>
      <c r="F127" s="25"/>
      <c r="G127">
        <v>111205.4</v>
      </c>
      <c r="H127" s="18">
        <v>0</v>
      </c>
      <c r="I127" s="17" t="s">
        <v>138</v>
      </c>
      <c r="J127" s="17" t="s">
        <v>236</v>
      </c>
    </row>
    <row r="128" spans="1:10" x14ac:dyDescent="0.3">
      <c r="A128" s="8"/>
      <c r="B128" s="17"/>
      <c r="C128" s="17"/>
      <c r="D128" s="21"/>
      <c r="E128" s="22"/>
      <c r="F128" s="18"/>
      <c r="H128" s="18"/>
      <c r="I128" s="17"/>
      <c r="J128" s="17"/>
    </row>
    <row r="129" spans="1:10" x14ac:dyDescent="0.3">
      <c r="A129" s="8"/>
      <c r="B129" s="17"/>
      <c r="C129" s="17"/>
      <c r="D129" s="21"/>
      <c r="E129" s="22"/>
      <c r="F129" s="18"/>
      <c r="G129" s="18"/>
      <c r="H129" s="18"/>
      <c r="I129" s="17"/>
      <c r="J129" s="17"/>
    </row>
    <row r="130" spans="1:10" x14ac:dyDescent="0.3">
      <c r="A130" s="8"/>
      <c r="B130" s="17"/>
      <c r="C130" s="17"/>
      <c r="D130" s="21"/>
      <c r="E130" s="22"/>
      <c r="F130" s="18"/>
      <c r="G130" s="18"/>
      <c r="H130" s="18"/>
      <c r="I130" s="17"/>
      <c r="J130" s="17"/>
    </row>
    <row r="131" spans="1:10" x14ac:dyDescent="0.3">
      <c r="A131" s="8"/>
      <c r="B131" s="17"/>
      <c r="C131" s="17"/>
      <c r="D131" s="21"/>
      <c r="E131" s="22"/>
      <c r="F131" s="18"/>
      <c r="G131" s="18"/>
      <c r="H131" s="18"/>
      <c r="I131" s="17"/>
      <c r="J131" s="17"/>
    </row>
    <row r="132" spans="1:10" x14ac:dyDescent="0.3">
      <c r="A132" s="8"/>
      <c r="B132" s="17"/>
      <c r="C132" s="17"/>
      <c r="D132" s="21"/>
      <c r="E132" s="23"/>
      <c r="F132" s="18"/>
      <c r="G132" s="18"/>
      <c r="H132" s="18"/>
      <c r="I132" s="17"/>
      <c r="J132" s="17"/>
    </row>
    <row r="133" spans="1:10" x14ac:dyDescent="0.3">
      <c r="A133" s="8"/>
      <c r="B133" s="17"/>
      <c r="C133" s="17"/>
      <c r="D133" s="21"/>
      <c r="E133" s="22"/>
      <c r="F133" s="18"/>
      <c r="G133" s="18"/>
      <c r="H133" s="18"/>
      <c r="I133" s="17"/>
      <c r="J133" s="17"/>
    </row>
    <row r="134" spans="1:10" x14ac:dyDescent="0.3">
      <c r="A134" s="8"/>
      <c r="B134" s="17"/>
      <c r="C134" s="17"/>
      <c r="D134" s="21"/>
      <c r="E134" s="22"/>
      <c r="F134" s="18"/>
      <c r="G134" s="18"/>
      <c r="H134" s="18"/>
      <c r="I134" s="17"/>
      <c r="J134" s="17"/>
    </row>
    <row r="135" spans="1:10" x14ac:dyDescent="0.3">
      <c r="A135" s="8"/>
      <c r="B135" s="17"/>
      <c r="C135" s="17"/>
      <c r="D135" s="21"/>
      <c r="E135" s="17"/>
      <c r="F135" s="17"/>
      <c r="G135" s="18"/>
      <c r="H135" s="18"/>
      <c r="I135" s="17"/>
      <c r="J135" s="17"/>
    </row>
  </sheetData>
  <autoFilter ref="A1:J135" xr:uid="{00000000-0001-0000-0500-000000000000}"/>
  <pageMargins left="0.75" right="0.75" top="1" bottom="1" header="0.5" footer="0.5"/>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6"/>
  <sheetViews>
    <sheetView workbookViewId="0">
      <selection activeCell="H21" sqref="H21"/>
    </sheetView>
  </sheetViews>
  <sheetFormatPr defaultRowHeight="14.4" x14ac:dyDescent="0.3"/>
  <cols>
    <col min="1" max="1" width="21.6640625" bestFit="1" customWidth="1"/>
    <col min="2" max="2" width="26" bestFit="1" customWidth="1"/>
    <col min="3" max="3" width="13" customWidth="1"/>
    <col min="4" max="4" width="16" customWidth="1"/>
    <col min="5" max="5" width="17" customWidth="1"/>
    <col min="6" max="6" width="13" customWidth="1"/>
    <col min="7" max="7" width="14" customWidth="1"/>
    <col min="8" max="8" width="23" customWidth="1"/>
    <col min="9" max="9" width="10.6640625" bestFit="1" customWidth="1"/>
  </cols>
  <sheetData>
    <row r="1" spans="1:9" x14ac:dyDescent="0.3">
      <c r="A1" s="3" t="s">
        <v>63</v>
      </c>
      <c r="B1" s="3" t="s">
        <v>140</v>
      </c>
      <c r="C1" s="3" t="s">
        <v>132</v>
      </c>
      <c r="D1" s="3" t="s">
        <v>141</v>
      </c>
      <c r="E1" s="3" t="s">
        <v>142</v>
      </c>
      <c r="F1" s="3" t="s">
        <v>143</v>
      </c>
      <c r="G1" s="3" t="s">
        <v>144</v>
      </c>
      <c r="H1" s="3" t="s">
        <v>145</v>
      </c>
      <c r="I1" s="3" t="s">
        <v>66</v>
      </c>
    </row>
    <row r="2" spans="1:9" x14ac:dyDescent="0.3">
      <c r="A2" s="8" t="s">
        <v>194</v>
      </c>
      <c r="B2" s="4" t="s">
        <v>197</v>
      </c>
      <c r="C2" s="4" t="s">
        <v>146</v>
      </c>
      <c r="D2" s="5">
        <v>80000</v>
      </c>
      <c r="E2" s="12">
        <v>3160.03</v>
      </c>
      <c r="F2" s="24">
        <f>E2/D2</f>
        <v>3.9500375000000004E-2</v>
      </c>
      <c r="G2" s="9" t="s">
        <v>228</v>
      </c>
      <c r="H2" s="5">
        <v>400</v>
      </c>
      <c r="I2" s="4" t="s">
        <v>73</v>
      </c>
    </row>
    <row r="3" spans="1:9" x14ac:dyDescent="0.3">
      <c r="A3" s="8" t="s">
        <v>194</v>
      </c>
      <c r="B3" s="4" t="s">
        <v>198</v>
      </c>
      <c r="C3" s="4" t="s">
        <v>146</v>
      </c>
      <c r="D3" s="5">
        <v>60000</v>
      </c>
      <c r="E3" s="12">
        <v>0</v>
      </c>
      <c r="F3" s="11">
        <v>0</v>
      </c>
      <c r="G3" s="9" t="s">
        <v>227</v>
      </c>
      <c r="H3" s="5">
        <v>2800</v>
      </c>
      <c r="I3" s="4" t="s">
        <v>229</v>
      </c>
    </row>
    <row r="5" spans="1:9" x14ac:dyDescent="0.3">
      <c r="G5" s="31"/>
    </row>
    <row r="6" spans="1:9" x14ac:dyDescent="0.3">
      <c r="G6" s="32"/>
    </row>
  </sheetData>
  <pageMargins left="0.75" right="0.75" top="1" bottom="1" header="0.5" footer="0.5"/>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9"/>
  <sheetViews>
    <sheetView workbookViewId="0">
      <selection activeCell="B2" sqref="B2"/>
    </sheetView>
  </sheetViews>
  <sheetFormatPr defaultRowHeight="14.4" x14ac:dyDescent="0.3"/>
  <cols>
    <col min="1" max="1" width="21.6640625" bestFit="1" customWidth="1"/>
    <col min="2" max="2" width="22" customWidth="1"/>
    <col min="3" max="3" width="12" customWidth="1"/>
    <col min="4" max="4" width="15" customWidth="1"/>
    <col min="5" max="5" width="16" customWidth="1"/>
    <col min="6" max="6" width="12" customWidth="1"/>
    <col min="7" max="7" width="11" customWidth="1"/>
    <col min="8" max="8" width="14" customWidth="1"/>
    <col min="9" max="9" width="35" customWidth="1"/>
  </cols>
  <sheetData>
    <row r="1" spans="1:9" x14ac:dyDescent="0.3">
      <c r="A1" s="3" t="s">
        <v>63</v>
      </c>
      <c r="B1" s="3" t="s">
        <v>147</v>
      </c>
      <c r="C1" s="3" t="s">
        <v>132</v>
      </c>
      <c r="D1" s="3" t="s">
        <v>148</v>
      </c>
      <c r="E1" s="3" t="s">
        <v>149</v>
      </c>
      <c r="F1" s="3" t="s">
        <v>150</v>
      </c>
      <c r="G1" s="3" t="s">
        <v>64</v>
      </c>
      <c r="H1" s="3" t="s">
        <v>151</v>
      </c>
      <c r="I1" s="3" t="s">
        <v>152</v>
      </c>
    </row>
    <row r="2" spans="1:9" x14ac:dyDescent="0.3">
      <c r="A2" s="8" t="s">
        <v>194</v>
      </c>
      <c r="B2" s="34" t="s">
        <v>162</v>
      </c>
      <c r="C2" s="17" t="s">
        <v>153</v>
      </c>
      <c r="D2" s="17" t="s">
        <v>158</v>
      </c>
      <c r="E2" s="17" t="s">
        <v>222</v>
      </c>
      <c r="F2" s="20">
        <v>99801</v>
      </c>
      <c r="G2" s="17" t="s">
        <v>196</v>
      </c>
      <c r="H2" s="17" t="s">
        <v>155</v>
      </c>
      <c r="I2" s="17" t="s">
        <v>160</v>
      </c>
    </row>
    <row r="3" spans="1:9" x14ac:dyDescent="0.3">
      <c r="A3" s="8" t="s">
        <v>194</v>
      </c>
      <c r="B3" s="17" t="s">
        <v>156</v>
      </c>
      <c r="C3" s="17" t="s">
        <v>157</v>
      </c>
      <c r="D3" s="17" t="s">
        <v>158</v>
      </c>
      <c r="E3" s="17" t="s">
        <v>159</v>
      </c>
      <c r="F3" s="20">
        <v>38107</v>
      </c>
      <c r="G3" s="17" t="s">
        <v>196</v>
      </c>
      <c r="H3" s="17" t="s">
        <v>155</v>
      </c>
      <c r="I3" s="17" t="s">
        <v>160</v>
      </c>
    </row>
    <row r="4" spans="1:9" x14ac:dyDescent="0.3">
      <c r="A4" s="8" t="s">
        <v>194</v>
      </c>
      <c r="B4" s="17" t="s">
        <v>223</v>
      </c>
      <c r="C4" s="17" t="s">
        <v>90</v>
      </c>
      <c r="D4" s="17" t="s">
        <v>224</v>
      </c>
      <c r="E4" s="17" t="s">
        <v>225</v>
      </c>
      <c r="F4" s="20">
        <v>6200</v>
      </c>
      <c r="G4" s="17" t="s">
        <v>196</v>
      </c>
      <c r="H4" s="17" t="s">
        <v>155</v>
      </c>
      <c r="I4" s="17" t="s">
        <v>160</v>
      </c>
    </row>
    <row r="5" spans="1:9" x14ac:dyDescent="0.3">
      <c r="A5" s="8" t="s">
        <v>194</v>
      </c>
      <c r="B5" s="17" t="s">
        <v>161</v>
      </c>
      <c r="C5" s="17" t="s">
        <v>153</v>
      </c>
      <c r="D5" s="17" t="s">
        <v>154</v>
      </c>
      <c r="E5" s="17" t="s">
        <v>226</v>
      </c>
      <c r="F5" s="20">
        <v>8500</v>
      </c>
      <c r="G5" s="17" t="s">
        <v>196</v>
      </c>
      <c r="H5" s="17" t="s">
        <v>155</v>
      </c>
      <c r="I5" s="17" t="s">
        <v>160</v>
      </c>
    </row>
    <row r="6" spans="1:9" x14ac:dyDescent="0.3">
      <c r="A6" s="4"/>
      <c r="B6" s="4"/>
      <c r="C6" s="4"/>
      <c r="D6" s="4"/>
      <c r="E6" s="4"/>
      <c r="F6" s="5"/>
      <c r="G6" s="4"/>
      <c r="H6" s="4"/>
      <c r="I6" s="4"/>
    </row>
    <row r="7" spans="1:9" x14ac:dyDescent="0.3">
      <c r="A7" s="4"/>
      <c r="B7" s="4"/>
      <c r="C7" s="4"/>
      <c r="D7" s="4"/>
      <c r="E7" s="4"/>
      <c r="F7" s="5"/>
      <c r="G7" s="4"/>
      <c r="H7" s="4"/>
      <c r="I7" s="4"/>
    </row>
    <row r="8" spans="1:9" x14ac:dyDescent="0.3">
      <c r="A8" s="4"/>
      <c r="B8" s="4"/>
      <c r="C8" s="4"/>
      <c r="D8" s="4"/>
      <c r="E8" s="4"/>
      <c r="F8" s="5"/>
      <c r="G8" s="4"/>
      <c r="H8" s="4"/>
      <c r="I8" s="4"/>
    </row>
    <row r="9" spans="1:9" x14ac:dyDescent="0.3">
      <c r="A9" s="4"/>
      <c r="B9" s="4"/>
      <c r="C9" s="4"/>
      <c r="D9" s="4"/>
      <c r="E9" s="4"/>
      <c r="F9" s="5"/>
      <c r="G9" s="4"/>
      <c r="H9" s="4"/>
      <c r="I9" s="4"/>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F45"/>
  <sheetViews>
    <sheetView zoomScale="115" zoomScaleNormal="115" workbookViewId="0">
      <selection activeCell="C10" sqref="C10"/>
    </sheetView>
  </sheetViews>
  <sheetFormatPr defaultRowHeight="14.4" x14ac:dyDescent="0.3"/>
  <cols>
    <col min="1" max="1" width="10" customWidth="1"/>
    <col min="2" max="2" width="43" customWidth="1"/>
    <col min="3" max="3" width="9" customWidth="1"/>
    <col min="4" max="4" width="14" customWidth="1"/>
    <col min="5" max="5" width="20" customWidth="1"/>
    <col min="6" max="6" width="16" customWidth="1"/>
  </cols>
  <sheetData>
    <row r="1" spans="1:6" x14ac:dyDescent="0.3">
      <c r="A1" s="3" t="s">
        <v>76</v>
      </c>
      <c r="B1" s="3" t="s">
        <v>77</v>
      </c>
      <c r="C1" s="3" t="s">
        <v>132</v>
      </c>
      <c r="D1" s="3" t="s">
        <v>78</v>
      </c>
      <c r="E1" s="3" t="s">
        <v>164</v>
      </c>
      <c r="F1" s="3" t="s">
        <v>165</v>
      </c>
    </row>
    <row r="2" spans="1:6" x14ac:dyDescent="0.3">
      <c r="A2" s="4" t="s">
        <v>104</v>
      </c>
      <c r="B2" s="4" t="s">
        <v>105</v>
      </c>
      <c r="C2" s="4" t="s">
        <v>86</v>
      </c>
      <c r="D2" s="4" t="s">
        <v>86</v>
      </c>
      <c r="E2" s="4" t="b">
        <v>0</v>
      </c>
      <c r="F2" s="4"/>
    </row>
    <row r="3" spans="1:6" x14ac:dyDescent="0.3">
      <c r="A3" s="4" t="s">
        <v>166</v>
      </c>
      <c r="B3" s="4" t="s">
        <v>167</v>
      </c>
      <c r="C3" s="4" t="s">
        <v>168</v>
      </c>
      <c r="D3" s="4" t="s">
        <v>86</v>
      </c>
      <c r="E3" s="4" t="b">
        <v>0</v>
      </c>
      <c r="F3" s="4">
        <v>3.2000000000000002E-3</v>
      </c>
    </row>
    <row r="4" spans="1:6" x14ac:dyDescent="0.3">
      <c r="A4" s="4" t="s">
        <v>106</v>
      </c>
      <c r="B4" s="4" t="s">
        <v>107</v>
      </c>
      <c r="C4" s="4" t="s">
        <v>168</v>
      </c>
      <c r="D4" s="4" t="s">
        <v>102</v>
      </c>
      <c r="E4" s="4" t="b">
        <v>0</v>
      </c>
      <c r="F4" s="4">
        <v>2.9999999999999997E-4</v>
      </c>
    </row>
    <row r="5" spans="1:6" x14ac:dyDescent="0.3">
      <c r="A5" s="4" t="s">
        <v>124</v>
      </c>
      <c r="B5" s="4" t="s">
        <v>125</v>
      </c>
      <c r="C5" s="4" t="s">
        <v>86</v>
      </c>
      <c r="D5" s="4" t="s">
        <v>86</v>
      </c>
      <c r="E5" s="4" t="b">
        <v>0</v>
      </c>
      <c r="F5" s="4"/>
    </row>
    <row r="6" spans="1:6" x14ac:dyDescent="0.3">
      <c r="A6" s="4" t="s">
        <v>116</v>
      </c>
      <c r="B6" s="4" t="s">
        <v>117</v>
      </c>
      <c r="C6" s="4" t="s">
        <v>86</v>
      </c>
      <c r="D6" s="4" t="s">
        <v>86</v>
      </c>
      <c r="E6" s="4" t="b">
        <v>0</v>
      </c>
      <c r="F6" s="4"/>
    </row>
    <row r="7" spans="1:6" x14ac:dyDescent="0.3">
      <c r="A7" s="4" t="s">
        <v>169</v>
      </c>
      <c r="B7" s="4" t="s">
        <v>170</v>
      </c>
      <c r="C7" s="4" t="s">
        <v>168</v>
      </c>
      <c r="D7" s="4" t="s">
        <v>86</v>
      </c>
      <c r="E7" s="4" t="b">
        <v>0</v>
      </c>
      <c r="F7" s="4">
        <v>1.5E-3</v>
      </c>
    </row>
    <row r="8" spans="1:6" x14ac:dyDescent="0.3">
      <c r="A8" s="4" t="s">
        <v>171</v>
      </c>
      <c r="B8" s="4" t="s">
        <v>172</v>
      </c>
      <c r="C8" s="4" t="s">
        <v>168</v>
      </c>
      <c r="D8" s="4" t="s">
        <v>102</v>
      </c>
      <c r="E8" s="4" t="b">
        <v>0</v>
      </c>
      <c r="F8" s="4">
        <v>1.5E-3</v>
      </c>
    </row>
    <row r="9" spans="1:6" x14ac:dyDescent="0.3">
      <c r="A9" s="4" t="s">
        <v>173</v>
      </c>
      <c r="B9" s="4" t="s">
        <v>174</v>
      </c>
      <c r="C9" s="4" t="s">
        <v>168</v>
      </c>
      <c r="D9" s="4" t="s">
        <v>86</v>
      </c>
      <c r="E9" s="4" t="b">
        <v>0</v>
      </c>
      <c r="F9" s="4">
        <v>1.5E-3</v>
      </c>
    </row>
    <row r="10" spans="1:6" x14ac:dyDescent="0.3">
      <c r="A10" s="4" t="s">
        <v>92</v>
      </c>
      <c r="B10" s="4" t="s">
        <v>93</v>
      </c>
      <c r="C10" s="4" t="s">
        <v>168</v>
      </c>
      <c r="D10" s="4" t="s">
        <v>94</v>
      </c>
      <c r="E10" s="4" t="b">
        <v>0</v>
      </c>
      <c r="F10" s="4">
        <v>1.4E-3</v>
      </c>
    </row>
    <row r="11" spans="1:6" x14ac:dyDescent="0.3">
      <c r="A11" s="4" t="s">
        <v>100</v>
      </c>
      <c r="B11" s="4" t="s">
        <v>101</v>
      </c>
      <c r="C11" s="4" t="s">
        <v>168</v>
      </c>
      <c r="D11" s="4" t="s">
        <v>102</v>
      </c>
      <c r="E11" s="4" t="b">
        <v>0</v>
      </c>
      <c r="F11" s="4">
        <v>2.9999999999999997E-4</v>
      </c>
    </row>
    <row r="12" spans="1:6" x14ac:dyDescent="0.3">
      <c r="A12" s="4" t="s">
        <v>88</v>
      </c>
      <c r="B12" s="4" t="s">
        <v>89</v>
      </c>
      <c r="C12" s="4" t="s">
        <v>90</v>
      </c>
      <c r="D12" s="4" t="s">
        <v>90</v>
      </c>
      <c r="E12" s="4" t="b">
        <v>0</v>
      </c>
      <c r="F12" s="4"/>
    </row>
    <row r="13" spans="1:6" x14ac:dyDescent="0.3">
      <c r="A13" s="4" t="s">
        <v>130</v>
      </c>
      <c r="B13" s="4" t="s">
        <v>131</v>
      </c>
      <c r="C13" s="4" t="s">
        <v>90</v>
      </c>
      <c r="D13" s="4" t="s">
        <v>90</v>
      </c>
      <c r="E13" s="4" t="b">
        <v>0</v>
      </c>
      <c r="F13" s="4"/>
    </row>
    <row r="14" spans="1:6" x14ac:dyDescent="0.3">
      <c r="A14" s="4" t="s">
        <v>96</v>
      </c>
      <c r="B14" s="4" t="s">
        <v>97</v>
      </c>
      <c r="C14" s="4" t="s">
        <v>168</v>
      </c>
      <c r="D14" s="4" t="s">
        <v>98</v>
      </c>
      <c r="E14" s="4" t="b">
        <v>0</v>
      </c>
      <c r="F14" s="4">
        <v>4.0000000000000001E-3</v>
      </c>
    </row>
    <row r="15" spans="1:6" x14ac:dyDescent="0.3">
      <c r="A15" s="4" t="s">
        <v>128</v>
      </c>
      <c r="B15" s="4" t="s">
        <v>129</v>
      </c>
      <c r="C15" s="4" t="s">
        <v>86</v>
      </c>
      <c r="D15" s="4" t="s">
        <v>86</v>
      </c>
      <c r="E15" s="4" t="b">
        <v>0</v>
      </c>
      <c r="F15" s="4"/>
    </row>
    <row r="16" spans="1:6" x14ac:dyDescent="0.3">
      <c r="A16" s="4" t="s">
        <v>126</v>
      </c>
      <c r="B16" s="4" t="s">
        <v>127</v>
      </c>
      <c r="C16" s="4" t="s">
        <v>86</v>
      </c>
      <c r="D16" s="4" t="s">
        <v>86</v>
      </c>
      <c r="E16" s="4" t="b">
        <v>0</v>
      </c>
      <c r="F16" s="4"/>
    </row>
    <row r="17" spans="1:6" x14ac:dyDescent="0.3">
      <c r="A17" s="4" t="s">
        <v>108</v>
      </c>
      <c r="B17" s="4" t="s">
        <v>109</v>
      </c>
      <c r="C17" s="4" t="s">
        <v>86</v>
      </c>
      <c r="D17" s="4" t="s">
        <v>86</v>
      </c>
      <c r="E17" s="4" t="b">
        <v>0</v>
      </c>
      <c r="F17" s="4"/>
    </row>
    <row r="18" spans="1:6" x14ac:dyDescent="0.3">
      <c r="A18" s="4" t="s">
        <v>118</v>
      </c>
      <c r="B18" s="4" t="s">
        <v>119</v>
      </c>
      <c r="C18" s="4" t="s">
        <v>86</v>
      </c>
      <c r="D18" s="4" t="s">
        <v>86</v>
      </c>
      <c r="E18" s="4" t="b">
        <v>0</v>
      </c>
      <c r="F18" s="4"/>
    </row>
    <row r="19" spans="1:6" x14ac:dyDescent="0.3">
      <c r="A19" s="4" t="s">
        <v>122</v>
      </c>
      <c r="B19" s="4" t="s">
        <v>123</v>
      </c>
      <c r="C19" s="4" t="s">
        <v>168</v>
      </c>
      <c r="D19" s="4" t="s">
        <v>86</v>
      </c>
      <c r="E19" s="4" t="b">
        <v>0</v>
      </c>
      <c r="F19" s="4">
        <v>2E-3</v>
      </c>
    </row>
    <row r="20" spans="1:6" x14ac:dyDescent="0.3">
      <c r="A20" s="4" t="s">
        <v>175</v>
      </c>
      <c r="B20" s="4" t="s">
        <v>176</v>
      </c>
      <c r="C20" s="4" t="s">
        <v>168</v>
      </c>
      <c r="D20" s="4" t="s">
        <v>86</v>
      </c>
      <c r="E20" s="4" t="b">
        <v>0</v>
      </c>
      <c r="F20" s="4">
        <v>8.9999999999999998E-4</v>
      </c>
    </row>
    <row r="21" spans="1:6" x14ac:dyDescent="0.3">
      <c r="A21" s="4" t="s">
        <v>120</v>
      </c>
      <c r="B21" s="4" t="s">
        <v>121</v>
      </c>
      <c r="C21" s="4" t="s">
        <v>168</v>
      </c>
      <c r="D21" s="4" t="s">
        <v>102</v>
      </c>
      <c r="E21" s="4" t="b">
        <v>0</v>
      </c>
      <c r="F21" s="4">
        <v>1.5E-3</v>
      </c>
    </row>
    <row r="22" spans="1:6" x14ac:dyDescent="0.3">
      <c r="A22" s="4" t="s">
        <v>110</v>
      </c>
      <c r="B22" s="4" t="s">
        <v>111</v>
      </c>
      <c r="C22" s="4" t="s">
        <v>168</v>
      </c>
      <c r="D22" s="4" t="s">
        <v>86</v>
      </c>
      <c r="E22" s="4" t="b">
        <v>0</v>
      </c>
      <c r="F22" s="4">
        <v>5.0000000000000001E-4</v>
      </c>
    </row>
    <row r="23" spans="1:6" x14ac:dyDescent="0.3">
      <c r="A23" s="4" t="s">
        <v>112</v>
      </c>
      <c r="B23" s="4" t="s">
        <v>113</v>
      </c>
      <c r="C23" s="4" t="s">
        <v>168</v>
      </c>
      <c r="D23" s="4" t="s">
        <v>114</v>
      </c>
      <c r="E23" s="4" t="b">
        <v>0</v>
      </c>
      <c r="F23" s="4">
        <v>1.1999999999999999E-3</v>
      </c>
    </row>
    <row r="24" spans="1:6" x14ac:dyDescent="0.3">
      <c r="A24" s="4" t="s">
        <v>177</v>
      </c>
      <c r="B24" s="4" t="s">
        <v>178</v>
      </c>
      <c r="C24" s="4" t="s">
        <v>168</v>
      </c>
      <c r="D24" s="4" t="s">
        <v>86</v>
      </c>
      <c r="E24" s="4" t="b">
        <v>0</v>
      </c>
      <c r="F24" s="4">
        <v>6.9999999999999999E-4</v>
      </c>
    </row>
    <row r="25" spans="1:6" x14ac:dyDescent="0.3">
      <c r="A25" s="4" t="s">
        <v>84</v>
      </c>
      <c r="B25" s="4" t="s">
        <v>85</v>
      </c>
      <c r="C25" s="4" t="s">
        <v>168</v>
      </c>
      <c r="D25" s="4" t="s">
        <v>86</v>
      </c>
      <c r="E25" s="4" t="b">
        <v>0</v>
      </c>
      <c r="F25" s="4">
        <v>2.9999999999999997E-4</v>
      </c>
    </row>
    <row r="26" spans="1:6" x14ac:dyDescent="0.3">
      <c r="A26" t="s">
        <v>200</v>
      </c>
      <c r="B26" t="s">
        <v>201</v>
      </c>
      <c r="C26" t="s">
        <v>86</v>
      </c>
      <c r="D26" s="4" t="s">
        <v>86</v>
      </c>
      <c r="E26" t="b">
        <v>0</v>
      </c>
    </row>
    <row r="27" spans="1:6" x14ac:dyDescent="0.3">
      <c r="A27" t="s">
        <v>202</v>
      </c>
      <c r="B27" t="s">
        <v>203</v>
      </c>
      <c r="C27" t="s">
        <v>86</v>
      </c>
      <c r="D27" s="4" t="s">
        <v>86</v>
      </c>
      <c r="E27" t="b">
        <v>0</v>
      </c>
    </row>
    <row r="28" spans="1:6" x14ac:dyDescent="0.3">
      <c r="A28" t="s">
        <v>205</v>
      </c>
      <c r="B28" t="s">
        <v>206</v>
      </c>
      <c r="C28" t="s">
        <v>168</v>
      </c>
      <c r="D28" t="s">
        <v>102</v>
      </c>
      <c r="E28" t="b">
        <v>0</v>
      </c>
    </row>
    <row r="29" spans="1:6" x14ac:dyDescent="0.3">
      <c r="A29" t="s">
        <v>207</v>
      </c>
      <c r="B29" t="s">
        <v>208</v>
      </c>
      <c r="C29" t="s">
        <v>168</v>
      </c>
      <c r="D29" t="s">
        <v>102</v>
      </c>
      <c r="E29" t="b">
        <v>0</v>
      </c>
    </row>
    <row r="30" spans="1:6" x14ac:dyDescent="0.3">
      <c r="A30" t="s">
        <v>209</v>
      </c>
      <c r="B30" t="s">
        <v>210</v>
      </c>
      <c r="C30" t="s">
        <v>168</v>
      </c>
      <c r="D30" t="s">
        <v>219</v>
      </c>
    </row>
    <row r="31" spans="1:6" x14ac:dyDescent="0.3">
      <c r="A31" t="s">
        <v>213</v>
      </c>
      <c r="B31" t="s">
        <v>214</v>
      </c>
      <c r="C31" t="s">
        <v>217</v>
      </c>
      <c r="D31" t="s">
        <v>94</v>
      </c>
    </row>
    <row r="32" spans="1:6" x14ac:dyDescent="0.3">
      <c r="A32" t="s">
        <v>215</v>
      </c>
      <c r="B32" t="s">
        <v>216</v>
      </c>
      <c r="C32" t="s">
        <v>217</v>
      </c>
      <c r="D32" t="s">
        <v>94</v>
      </c>
    </row>
    <row r="39" spans="1:2" x14ac:dyDescent="0.3">
      <c r="A39" s="13"/>
      <c r="B39" s="15"/>
    </row>
    <row r="40" spans="1:2" x14ac:dyDescent="0.3">
      <c r="A40" s="13"/>
      <c r="B40" s="15"/>
    </row>
    <row r="41" spans="1:2" x14ac:dyDescent="0.3">
      <c r="A41" s="13"/>
      <c r="B41" s="15"/>
    </row>
    <row r="42" spans="1:2" x14ac:dyDescent="0.3">
      <c r="A42" s="13"/>
      <c r="B42" s="15"/>
    </row>
    <row r="43" spans="1:2" x14ac:dyDescent="0.3">
      <c r="A43" s="16"/>
      <c r="B43" s="15"/>
    </row>
    <row r="44" spans="1:2" x14ac:dyDescent="0.3">
      <c r="A44" s="16"/>
      <c r="B44" s="15"/>
    </row>
    <row r="45" spans="1:2" x14ac:dyDescent="0.3">
      <c r="A45" s="13"/>
      <c r="B45" s="14"/>
    </row>
  </sheetData>
  <pageMargins left="0.75" right="0.75" top="1" bottom="1" header="0.5" footer="0.5"/>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E5"/>
  <sheetViews>
    <sheetView workbookViewId="0">
      <selection activeCell="C8" sqref="C8"/>
    </sheetView>
  </sheetViews>
  <sheetFormatPr defaultRowHeight="14.4" x14ac:dyDescent="0.3"/>
  <cols>
    <col min="1" max="1" width="9" customWidth="1"/>
    <col min="2" max="2" width="17" customWidth="1"/>
    <col min="3" max="3" width="35.44140625" bestFit="1" customWidth="1"/>
    <col min="4" max="4" width="15" customWidth="1"/>
    <col min="5" max="5" width="18" customWidth="1"/>
  </cols>
  <sheetData>
    <row r="1" spans="1:5" x14ac:dyDescent="0.3">
      <c r="A1" s="3" t="s">
        <v>179</v>
      </c>
      <c r="B1" s="3" t="s">
        <v>180</v>
      </c>
      <c r="C1" s="3" t="s">
        <v>163</v>
      </c>
      <c r="D1" s="3" t="s">
        <v>181</v>
      </c>
      <c r="E1" s="3" t="s">
        <v>182</v>
      </c>
    </row>
    <row r="2" spans="1:5" x14ac:dyDescent="0.3">
      <c r="A2" s="4" t="s">
        <v>183</v>
      </c>
      <c r="B2" s="4" t="s">
        <v>58</v>
      </c>
      <c r="C2" s="4" t="s">
        <v>184</v>
      </c>
      <c r="D2" s="4" t="s">
        <v>185</v>
      </c>
      <c r="E2" s="4" t="s">
        <v>186</v>
      </c>
    </row>
    <row r="3" spans="1:5" x14ac:dyDescent="0.3">
      <c r="A3" s="4" t="s">
        <v>187</v>
      </c>
      <c r="B3" s="4" t="s">
        <v>60</v>
      </c>
      <c r="C3" s="4" t="s">
        <v>188</v>
      </c>
      <c r="D3" s="4" t="s">
        <v>185</v>
      </c>
      <c r="E3" s="4" t="s">
        <v>186</v>
      </c>
    </row>
    <row r="4" spans="1:5" x14ac:dyDescent="0.3">
      <c r="A4" s="4" t="s">
        <v>189</v>
      </c>
      <c r="B4" s="4" t="s">
        <v>61</v>
      </c>
      <c r="C4" s="4" t="s">
        <v>190</v>
      </c>
      <c r="D4" s="4" t="s">
        <v>191</v>
      </c>
      <c r="E4" s="4" t="s">
        <v>192</v>
      </c>
    </row>
    <row r="5" spans="1:5" x14ac:dyDescent="0.3">
      <c r="A5" s="17" t="s">
        <v>230</v>
      </c>
      <c r="B5" s="17" t="s">
        <v>231</v>
      </c>
      <c r="C5" s="17" t="s">
        <v>232</v>
      </c>
      <c r="D5" s="17" t="s">
        <v>185</v>
      </c>
      <c r="E5" s="17" t="s">
        <v>186</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680766ED0F27F4AA6947C0A3E6B7F38" ma:contentTypeVersion="14" ma:contentTypeDescription="Create a new document." ma:contentTypeScope="" ma:versionID="265d5369019e7d980079eab70251ce85">
  <xsd:schema xmlns:xsd="http://www.w3.org/2001/XMLSchema" xmlns:xs="http://www.w3.org/2001/XMLSchema" xmlns:p="http://schemas.microsoft.com/office/2006/metadata/properties" xmlns:ns2="12c40c93-fc9f-4866-8275-6d446b81e027" xmlns:ns3="b4787dd9-a5b2-438f-9ede-51fde670f78f" targetNamespace="http://schemas.microsoft.com/office/2006/metadata/properties" ma:root="true" ma:fieldsID="878a77e072b720bd18a1e458ab19cd84" ns2:_="" ns3:_="">
    <xsd:import namespace="12c40c93-fc9f-4866-8275-6d446b81e027"/>
    <xsd:import namespace="b4787dd9-a5b2-438f-9ede-51fde670f78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c40c93-fc9f-4866-8275-6d446b81e02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0c350327-7f8b-4e4c-9470-6526d29b839f"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indexed="true" ma:internalName="MediaServiceLocation" ma:readOnly="true">
      <xsd:simpleType>
        <xsd:restriction base="dms:Text"/>
      </xsd:simpleType>
    </xsd:element>
    <xsd:element name="MediaServiceBillingMetadata" ma:index="21"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4787dd9-a5b2-438f-9ede-51fde670f78f"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e4291506-522d-4744-8998-3c156781b0ef}" ma:internalName="TaxCatchAll" ma:showField="CatchAllData" ma:web="b4787dd9-a5b2-438f-9ede-51fde670f78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2c40c93-fc9f-4866-8275-6d446b81e027">
      <Terms xmlns="http://schemas.microsoft.com/office/infopath/2007/PartnerControls"/>
    </lcf76f155ced4ddcb4097134ff3c332f>
    <TaxCatchAll xmlns="b4787dd9-a5b2-438f-9ede-51fde670f78f" xsi:nil="true"/>
  </documentManagement>
</p:properties>
</file>

<file path=customXml/itemProps1.xml><?xml version="1.0" encoding="utf-8"?>
<ds:datastoreItem xmlns:ds="http://schemas.openxmlformats.org/officeDocument/2006/customXml" ds:itemID="{C6EE95AF-FE34-435F-B440-6F67C26EDC2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c40c93-fc9f-4866-8275-6d446b81e027"/>
    <ds:schemaRef ds:uri="b4787dd9-a5b2-438f-9ede-51fde670f78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5EFC91B-6E22-463F-B203-6D495D742C32}">
  <ds:schemaRefs>
    <ds:schemaRef ds:uri="http://schemas.microsoft.com/sharepoint/v3/contenttype/forms"/>
  </ds:schemaRefs>
</ds:datastoreItem>
</file>

<file path=customXml/itemProps3.xml><?xml version="1.0" encoding="utf-8"?>
<ds:datastoreItem xmlns:ds="http://schemas.openxmlformats.org/officeDocument/2006/customXml" ds:itemID="{0252CEE5-1664-45B5-AEBA-D2B8FA690B05}">
  <ds:schemaRefs>
    <ds:schemaRef ds:uri="http://schemas.openxmlformats.org/package/2006/metadata/core-properties"/>
    <ds:schemaRef ds:uri="http://schemas.microsoft.com/office/2006/documentManagement/types"/>
    <ds:schemaRef ds:uri="http://www.w3.org/XML/1998/namespace"/>
    <ds:schemaRef ds:uri="12c40c93-fc9f-4866-8275-6d446b81e027"/>
    <ds:schemaRef ds:uri="http://purl.org/dc/elements/1.1/"/>
    <ds:schemaRef ds:uri="http://schemas.microsoft.com/office/infopath/2007/PartnerControls"/>
    <ds:schemaRef ds:uri="http://purl.org/dc/terms/"/>
    <ds:schemaRef ds:uri="b4787dd9-a5b2-438f-9ede-51fde670f78f"/>
    <ds:schemaRef ds:uri="http://schemas.microsoft.com/office/2006/metadata/properties"/>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README</vt:lpstr>
      <vt:lpstr>Users</vt:lpstr>
      <vt:lpstr>Customers</vt:lpstr>
      <vt:lpstr>Portfolios</vt:lpstr>
      <vt:lpstr>Holdings</vt:lpstr>
      <vt:lpstr>Transactions</vt:lpstr>
      <vt:lpstr>Goals</vt:lpstr>
      <vt:lpstr>Connected Accounts</vt:lpstr>
      <vt:lpstr>Funds</vt:lpstr>
      <vt:lpstr>Advisors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Bhojarajan, Aswin</cp:lastModifiedBy>
  <cp:revision/>
  <dcterms:created xsi:type="dcterms:W3CDTF">2026-03-23T12:08:21Z</dcterms:created>
  <dcterms:modified xsi:type="dcterms:W3CDTF">2026-04-03T21:37:35Z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e815a84-bb14-486b-9367-c1af54c95fa4_Enabled">
    <vt:lpwstr>true</vt:lpwstr>
  </property>
  <property fmtid="{D5CDD505-2E9C-101B-9397-08002B2CF9AE}" pid="3" name="MSIP_Label_0e815a84-bb14-486b-9367-c1af54c95fa4_SetDate">
    <vt:lpwstr>2026-03-23T14:35:23Z</vt:lpwstr>
  </property>
  <property fmtid="{D5CDD505-2E9C-101B-9397-08002B2CF9AE}" pid="4" name="MSIP_Label_0e815a84-bb14-486b-9367-c1af54c95fa4_Method">
    <vt:lpwstr>Standard</vt:lpwstr>
  </property>
  <property fmtid="{D5CDD505-2E9C-101B-9397-08002B2CF9AE}" pid="5" name="MSIP_Label_0e815a84-bb14-486b-9367-c1af54c95fa4_Name">
    <vt:lpwstr>Standard</vt:lpwstr>
  </property>
  <property fmtid="{D5CDD505-2E9C-101B-9397-08002B2CF9AE}" pid="6" name="MSIP_Label_0e815a84-bb14-486b-9367-c1af54c95fa4_SiteId">
    <vt:lpwstr>5dc645ed-297f-4dca-b0af-2339c71c5388</vt:lpwstr>
  </property>
  <property fmtid="{D5CDD505-2E9C-101B-9397-08002B2CF9AE}" pid="7" name="MSIP_Label_0e815a84-bb14-486b-9367-c1af54c95fa4_ActionId">
    <vt:lpwstr>5617b938-f364-4a80-82b1-43a8de02d4e9</vt:lpwstr>
  </property>
  <property fmtid="{D5CDD505-2E9C-101B-9397-08002B2CF9AE}" pid="8" name="MSIP_Label_0e815a84-bb14-486b-9367-c1af54c95fa4_ContentBits">
    <vt:lpwstr>0</vt:lpwstr>
  </property>
  <property fmtid="{D5CDD505-2E9C-101B-9397-08002B2CF9AE}" pid="9" name="MSIP_Label_0e815a84-bb14-486b-9367-c1af54c95fa4_Tag">
    <vt:lpwstr>10, 3, 0, 2</vt:lpwstr>
  </property>
  <property fmtid="{D5CDD505-2E9C-101B-9397-08002B2CF9AE}" pid="10" name="ContentTypeId">
    <vt:lpwstr>0x0101001680766ED0F27F4AA6947C0A3E6B7F38</vt:lpwstr>
  </property>
  <property fmtid="{D5CDD505-2E9C-101B-9397-08002B2CF9AE}" pid="11" name="MediaServiceImageTags">
    <vt:lpwstr/>
  </property>
</Properties>
</file>